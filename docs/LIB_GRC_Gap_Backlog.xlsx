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log" sheetId="2" state="visible" r:id="rId2"/>
    <sheet name="Capability matrix" sheetId="3" state="visible" r:id="rId3"/>
    <sheet name="POC check" sheetId="4" state="visible" r:id="rId4"/>
    <sheet name="Practices" sheetId="5" state="visible" r:id="rId5"/>
    <sheet name="Vendor notes" sheetId="6" state="visible" r:id="rId6"/>
    <sheet name="Sources" sheetId="7" state="visible" r:id="rId7"/>
  </sheets>
  <definedNames>
    <definedName name="_xlnm._FilterDatabase" localSheetId="1" hidden="1">'Backlog'!$A$1:$L$44</definedName>
    <definedName name="_xlnm._FilterDatabase" localSheetId="2" hidden="1">'Capability matrix'!$A$1:$M$47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  <font>
      <name val="Arial"/>
      <b val="1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rightToLeft="1"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1" t="inlineStr">
        <is>
          <t>خطة تطوير منصة GRC — مصرف ليبيا الإسلامي</t>
        </is>
      </c>
    </row>
    <row r="2">
      <c r="A2" s="2" t="inlineStr">
        <is>
          <t>ناتج مقارنة المنصة الحالية بعروض الموردين الستة والممارسات الدولية/الإقليمية</t>
        </is>
      </c>
    </row>
    <row r="4">
      <c r="A4" s="3" t="inlineStr">
        <is>
          <t>إجمالي بنود التطوير</t>
        </is>
      </c>
      <c r="B4" s="4">
        <f>COUNTA(Backlog!A2:A44)</f>
        <v/>
      </c>
    </row>
    <row r="5">
      <c r="A5" s="3" t="inlineStr">
        <is>
          <t>بنود P0 (حرجة)</t>
        </is>
      </c>
      <c r="B5" s="4">
        <f>COUNTIF(Backlog!G2:G44,"P0")</f>
        <v/>
      </c>
    </row>
    <row r="6">
      <c r="A6" s="3" t="inlineStr">
        <is>
          <t>بنود P1</t>
        </is>
      </c>
      <c r="B6" s="4">
        <f>COUNTIF(Backlog!G2:G44,"P1")</f>
        <v/>
      </c>
    </row>
    <row r="7">
      <c r="A7" s="3" t="inlineStr">
        <is>
          <t>بنود P2</t>
        </is>
      </c>
      <c r="B7" s="4">
        <f>COUNTIF(Backlog!G2:G44,"P2")</f>
        <v/>
      </c>
    </row>
    <row r="8">
      <c r="A8" s="3" t="inlineStr">
        <is>
          <t>بنود P3</t>
        </is>
      </c>
      <c r="B8" s="4">
        <f>COUNTIF(Backlog!G2:G44,"P3")</f>
        <v/>
      </c>
    </row>
    <row r="9">
      <c r="A9" s="3" t="inlineStr">
        <is>
          <t>إجمالي الجهد التقديري (أيام عمل)</t>
        </is>
      </c>
      <c r="B9" s="4">
        <f>SUM(Backlog!H2:H44)</f>
        <v/>
      </c>
    </row>
    <row r="10">
      <c r="A10" s="3" t="inlineStr">
        <is>
          <t>الإصدار 1 (أيام)</t>
        </is>
      </c>
      <c r="B10" s="4">
        <f>SUMIF(Backlog!B2:B44,"R1",Backlog!H2:H44)</f>
        <v/>
      </c>
    </row>
    <row r="11">
      <c r="A11" s="3" t="inlineStr">
        <is>
          <t>الإصدار 2 (أيام)</t>
        </is>
      </c>
      <c r="B11" s="4">
        <f>SUMIF(Backlog!B2:B44,"R2",Backlog!H2:H44)</f>
        <v/>
      </c>
    </row>
    <row r="12">
      <c r="A12" s="3" t="inlineStr">
        <is>
          <t>الإصدار 3 (أيام)</t>
        </is>
      </c>
      <c r="B12" s="4">
        <f>SUMIF(Backlog!B2:B44,"R3",Backlog!H2:H44)</f>
        <v/>
      </c>
    </row>
    <row r="13">
      <c r="A13" s="3" t="inlineStr">
        <is>
          <t>الإصدار 4 (أيام)</t>
        </is>
      </c>
      <c r="B13" s="4">
        <f>SUMIF(Backlog!B2:B44,"R4",Backlog!H2:H44)</f>
        <v/>
      </c>
    </row>
    <row r="14">
      <c r="A14" s="3" t="inlineStr">
        <is>
          <t>غير وظيفي (أيام)</t>
        </is>
      </c>
      <c r="B14" s="4">
        <f>SUMIF(Backlog!B2:B44,"NF",Backlog!H2:H44)</f>
        <v/>
      </c>
    </row>
    <row r="15">
      <c r="A15" s="3" t="inlineStr">
        <is>
          <t>بنود تحتاج بريداً/SMTP</t>
        </is>
      </c>
      <c r="B15" s="4">
        <f>COUNTIF(Backlog!J2:J44,"smtp")</f>
        <v/>
      </c>
    </row>
    <row r="16">
      <c r="A16" s="3" t="inlineStr">
        <is>
          <t>بنود تحتاج cron</t>
        </is>
      </c>
      <c r="B16" s="4">
        <f>COUNTIF(Backlog!J2:J44,"cron")</f>
        <v/>
      </c>
    </row>
    <row r="17">
      <c r="A17" s="3" t="inlineStr">
        <is>
          <t>بنود تحتاج بنية غير الاستضافة المشتركة</t>
        </is>
      </c>
      <c r="B17" s="4">
        <f>COUNTIF(Backlog!J2:J44,"infra")</f>
        <v/>
      </c>
    </row>
    <row r="18">
      <c r="A18" s="3" t="inlineStr">
        <is>
          <t>قدرات منفّذة بالكامل لدينا</t>
        </is>
      </c>
      <c r="B18" s="4">
        <f>COUNTIF('Capability matrix'!D2:D47,2)</f>
        <v/>
      </c>
    </row>
    <row r="19">
      <c r="A19" s="3" t="inlineStr">
        <is>
          <t>قدرات جزئية</t>
        </is>
      </c>
      <c r="B19" s="4">
        <f>COUNTIF('Capability matrix'!D2:D47,1)</f>
        <v/>
      </c>
    </row>
    <row r="20">
      <c r="A20" s="3" t="inlineStr">
        <is>
          <t>قدرات غير موجودة</t>
        </is>
      </c>
      <c r="B20" s="4">
        <f>COUNTIF('Capability matrix'!D2:D47,0)</f>
        <v/>
      </c>
    </row>
    <row r="21">
      <c r="A21" s="3" t="inlineStr">
        <is>
          <t>خطوات POC مغطاة كلياً</t>
        </is>
      </c>
      <c r="B21" s="4">
        <f>'POC check'!D20</f>
        <v/>
      </c>
    </row>
    <row r="22">
      <c r="A22" s="3" t="inlineStr">
        <is>
          <t>خطوات POC جزئية</t>
        </is>
      </c>
      <c r="B22" s="4">
        <f>'POC check'!D21</f>
        <v/>
      </c>
    </row>
    <row r="23">
      <c r="A23" s="3" t="inlineStr">
        <is>
          <t>خطوات POC مفقودة</t>
        </is>
      </c>
      <c r="B23" s="4">
        <f>'POC check'!D22</f>
        <v/>
      </c>
    </row>
    <row r="25">
      <c r="A25" s="5" t="inlineStr">
        <is>
          <t>ملاحظات للقراءة:</t>
        </is>
      </c>
    </row>
    <row r="26">
      <c r="A26" s="6" t="inlineStr">
        <is>
          <t>• التقدير بأيام عمل مطوّر واحد كمرتبة أولية (±50%) دون اختبارات قبول المصرف ولا إدارة المشروع.</t>
        </is>
      </c>
    </row>
    <row r="27">
      <c r="A27" s="6" t="inlineStr">
        <is>
          <t>• ترتيب الإصدارات توصية؛ للجنة تعديلها بحسب الاستراتيجية.</t>
        </is>
      </c>
    </row>
    <row r="28">
      <c r="A28" s="6" t="inlineStr">
        <is>
          <t>• عمود «الاستضافة»: ok = يعمل على الاستضافة المشتركة، cron/smtp = يتطلب مهمة مجدولة أو بريداً، infra = يتطلب بنية أو مسار شبكة خارج الاستضافة المشتركة.</t>
        </is>
      </c>
    </row>
    <row r="29">
      <c r="A29" s="6" t="inlineStr">
        <is>
          <t>• لم تُتحقق ادعاءات الموردين مستقلاً، ولم أتمكن من فتح موقع مصرف ليبيا المركزي.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30" customWidth="1" min="4" max="4"/>
    <col width="30" customWidth="1" min="5" max="5"/>
    <col width="55" customWidth="1" min="6" max="6"/>
    <col width="9" customWidth="1" min="7" max="7"/>
    <col width="12" customWidth="1" min="8" max="8"/>
    <col width="16" customWidth="1" min="9" max="9"/>
    <col width="10" customWidth="1" min="10" max="10"/>
    <col width="50" customWidth="1" min="11" max="11"/>
    <col width="24" customWidth="1" min="12" max="12"/>
  </cols>
  <sheetData>
    <row r="1">
      <c r="A1" s="7" t="inlineStr">
        <is>
          <t>ID</t>
        </is>
      </c>
      <c r="B1" s="7" t="inlineStr">
        <is>
          <t>الإصدار</t>
        </is>
      </c>
      <c r="C1" s="7" t="inlineStr">
        <is>
          <t>المحور</t>
        </is>
      </c>
      <c r="D1" s="7" t="inlineStr">
        <is>
          <t>العنوان</t>
        </is>
      </c>
      <c r="E1" s="7" t="inlineStr">
        <is>
          <t>Title</t>
        </is>
      </c>
      <c r="F1" s="7" t="inlineStr">
        <is>
          <t>الوصف</t>
        </is>
      </c>
      <c r="G1" s="7" t="inlineStr">
        <is>
          <t>الأولوية</t>
        </is>
      </c>
      <c r="H1" s="7" t="inlineStr">
        <is>
          <t>التقدير (أيام عمل)</t>
        </is>
      </c>
      <c r="I1" s="7" t="inlineStr">
        <is>
          <t>يعتمد على</t>
        </is>
      </c>
      <c r="J1" s="7" t="inlineStr">
        <is>
          <t>الاستضافة</t>
        </is>
      </c>
      <c r="K1" s="7" t="inlineStr">
        <is>
          <t>معيار القبول</t>
        </is>
      </c>
      <c r="L1" s="7" t="inlineStr">
        <is>
          <t>الأساس</t>
        </is>
      </c>
    </row>
    <row r="2">
      <c r="A2" s="8" t="inlineStr">
        <is>
          <t>GRC-001</t>
        </is>
      </c>
      <c r="B2" s="8" t="inlineStr">
        <is>
          <t>R1</t>
        </is>
      </c>
      <c r="C2" s="8" t="inlineStr">
        <is>
          <t>الضوابط</t>
        </is>
      </c>
      <c r="D2" s="8" t="inlineStr">
        <is>
          <t>مكتبة ضوابط مركزية</t>
        </is>
      </c>
      <c r="E2" s="8" t="inlineStr">
        <is>
          <t>Central control library</t>
        </is>
      </c>
      <c r="F2" s="8" t="inlineStr">
        <is>
          <t>كيان ضابط مستقل (رمز، وصف، تصنيف، مالك، تكرار، آلي/يدوي، رئيسي/ثانوي) وربط متعدد لمتعدد مع المخاطر.</t>
        </is>
      </c>
      <c r="G2" s="8" t="inlineStr">
        <is>
          <t>P0</t>
        </is>
      </c>
      <c r="H2" s="8" t="n">
        <v>15</v>
      </c>
      <c r="I2" s="8" t="inlineStr">
        <is>
          <t>-</t>
        </is>
      </c>
      <c r="J2" s="8" t="inlineStr">
        <is>
          <t>ok</t>
        </is>
      </c>
      <c r="K2" s="8" t="inlineStr">
        <is>
          <t>إنشاء ضابط وربطه بعدة مخاطر وبالعكس؛ تصفية بالتصنيف؛ يظهر في صفحة الخطر وسجل التغييرات.</t>
        </is>
      </c>
      <c r="L2" s="8" t="inlineStr">
        <is>
          <t>تصنيف السوق/Basel PSMOR</t>
        </is>
      </c>
    </row>
    <row r="3">
      <c r="A3" s="8" t="inlineStr">
        <is>
          <t>GRC-002</t>
        </is>
      </c>
      <c r="B3" s="8" t="inlineStr">
        <is>
          <t>R1</t>
        </is>
      </c>
      <c r="C3" s="8" t="inlineStr">
        <is>
          <t>الضوابط</t>
        </is>
      </c>
      <c r="D3" s="8" t="inlineStr">
        <is>
          <t>اختبار الضوابط وبرامج الفحص</t>
        </is>
      </c>
      <c r="E3" s="8" t="inlineStr">
        <is>
          <t>Control testing programs</t>
        </is>
      </c>
      <c r="F3" s="8" t="inlineStr">
        <is>
          <t>برامج اختبار (تصميم/تشغيل)، قوائم تحقق، عينات، جدولة، مختبِر مستقل عن مالك الضابط، دليل إلزامي لتقييم «فعّال».</t>
        </is>
      </c>
      <c r="G3" s="8" t="inlineStr">
        <is>
          <t>P0</t>
        </is>
      </c>
      <c r="H3" s="8" t="n">
        <v>25</v>
      </c>
      <c r="I3" s="8" t="inlineStr">
        <is>
          <t>GRC-001</t>
        </is>
      </c>
      <c r="J3" s="8" t="inlineStr">
        <is>
          <t>cron</t>
        </is>
      </c>
      <c r="K3" s="8" t="inlineStr">
        <is>
          <t>لا يمكن تقييم ضابط فعّالاً بلا دليل؛ فجوة الضابط تنشئ إجراءً؛ سجل نتائج بالتاريخ.</t>
        </is>
      </c>
      <c r="L3" s="8" t="inlineStr">
        <is>
          <t>فجوة مقارنة العروض</t>
        </is>
      </c>
    </row>
    <row r="4">
      <c r="A4" s="8" t="inlineStr">
        <is>
          <t>GRC-003</t>
        </is>
      </c>
      <c r="B4" s="8" t="inlineStr">
        <is>
          <t>R1</t>
        </is>
      </c>
      <c r="C4" s="8" t="inlineStr">
        <is>
          <t>الضوابط</t>
        </is>
      </c>
      <c r="D4" s="8" t="inlineStr">
        <is>
          <t>الخطر المتبقي المقترح من نتائج الاختبار</t>
        </is>
      </c>
      <c r="E4" s="8" t="inlineStr">
        <is>
          <t>Test-informed residual suggestion</t>
        </is>
      </c>
      <c r="F4" s="8" t="inlineStr">
        <is>
          <t>عرض قيمة متبقية مقترحة مشتقة من فعالية الضوابط بجانب التقييم الصريح مع تنبيه عند التعارض (دون خصم تلقائي).</t>
        </is>
      </c>
      <c r="G4" s="8" t="inlineStr">
        <is>
          <t>P1</t>
        </is>
      </c>
      <c r="H4" s="8" t="n">
        <v>8</v>
      </c>
      <c r="I4" s="8" t="inlineStr">
        <is>
          <t>GRC-002</t>
        </is>
      </c>
      <c r="J4" s="8" t="inlineStr">
        <is>
          <t>ok</t>
        </is>
      </c>
      <c r="K4" s="8" t="inlineStr">
        <is>
          <t>تظهر المقارنة (صريح/مقترح) وتُطلب مبررات عند الفرق الكبير.</t>
        </is>
      </c>
      <c r="L4" s="8" t="inlineStr">
        <is>
          <t>قرار التصميم الحالي</t>
        </is>
      </c>
    </row>
    <row r="5">
      <c r="A5" s="8" t="inlineStr">
        <is>
          <t>GRC-004</t>
        </is>
      </c>
      <c r="B5" s="8" t="inlineStr">
        <is>
          <t>R1</t>
        </is>
      </c>
      <c r="C5" s="8" t="inlineStr">
        <is>
          <t>سير العمل</t>
        </is>
      </c>
      <c r="D5" s="8" t="inlineStr">
        <is>
          <t>محرك موافقات (Maker/Checker) على السجلات</t>
        </is>
      </c>
      <c r="E5" s="8" t="inlineStr">
        <is>
          <t>Approval workflow engine</t>
        </is>
      </c>
      <c r="F5" s="8" t="inlineStr">
        <is>
          <t>مسار إعداد←مراجعة←اعتماد قابل للتهيئة لكل نوع سجل (خطر، حادث، التزام، سياسة، مؤشر)، مع منع نفس المستخدم من الإعداد والاعتماد.</t>
        </is>
      </c>
      <c r="G5" s="8" t="inlineStr">
        <is>
          <t>P0</t>
        </is>
      </c>
      <c r="H5" s="8" t="n">
        <v>25</v>
      </c>
      <c r="I5" s="8" t="inlineStr">
        <is>
          <t>-</t>
        </is>
      </c>
      <c r="J5" s="8" t="inlineStr">
        <is>
          <t>ok</t>
        </is>
      </c>
      <c r="K5" s="8" t="inlineStr">
        <is>
          <t>تفعيل المسار لنوع سجل واحد على الأقل دون تعديل كود؛ لا يُغلق سجل قبل الاعتماد؛ مسجّل في التدقيق.</t>
        </is>
      </c>
      <c r="L5" s="8" t="inlineStr">
        <is>
          <t>Maker/Checker لدى كل العروض</t>
        </is>
      </c>
    </row>
    <row r="6">
      <c r="A6" s="8" t="inlineStr">
        <is>
          <t>GRC-005</t>
        </is>
      </c>
      <c r="B6" s="8" t="inlineStr">
        <is>
          <t>R1</t>
        </is>
      </c>
      <c r="C6" s="8" t="inlineStr">
        <is>
          <t>سير العمل</t>
        </is>
      </c>
      <c r="D6" s="8" t="inlineStr">
        <is>
          <t>الإشعارات بالبريد والتصعيد التلقائي</t>
        </is>
      </c>
      <c r="E6" s="8" t="inlineStr">
        <is>
          <t>Email notifications and auto-escalation</t>
        </is>
      </c>
      <c r="F6" s="8" t="inlineStr">
        <is>
          <t>إعداد SMTP، قوالب ثنائية اللغة، تذكير بالمواعيد، تصعيد المتأخر حسب مصفوفة، يعمل بمهمة cron واحدة في cPanel.</t>
        </is>
      </c>
      <c r="G6" s="8" t="inlineStr">
        <is>
          <t>P0</t>
        </is>
      </c>
      <c r="H6" s="8" t="n">
        <v>15</v>
      </c>
      <c r="I6" s="8" t="inlineStr">
        <is>
          <t>-</t>
        </is>
      </c>
      <c r="J6" s="8" t="inlineStr">
        <is>
          <t>smtp</t>
        </is>
      </c>
      <c r="K6" s="8" t="inlineStr">
        <is>
          <t>إرسال تذكير قبل الموعد وتصعيد بعده؛ سجل إرسال؛ إيقاف/تفعيل لكل مستخدم.</t>
        </is>
      </c>
      <c r="L6" s="8" t="inlineStr">
        <is>
          <t>تنبيهات لدى كل العروض</t>
        </is>
      </c>
    </row>
    <row r="7">
      <c r="A7" s="8" t="inlineStr">
        <is>
          <t>GRC-006</t>
        </is>
      </c>
      <c r="B7" s="8" t="inlineStr">
        <is>
          <t>R1</t>
        </is>
      </c>
      <c r="C7" s="8" t="inlineStr">
        <is>
          <t>سير العمل</t>
        </is>
      </c>
      <c r="D7" s="8" t="inlineStr">
        <is>
          <t>صفحة «مهامي» والتقويم</t>
        </is>
      </c>
      <c r="E7" s="8" t="inlineStr">
        <is>
          <t>My tasks and calendar</t>
        </is>
      </c>
      <c r="F7" s="8" t="inlineStr">
        <is>
          <t>قائمة موحدة لما يخص المستخدم: إجراءات، مراجعات، قراءات KRI، اختبارات ضوابط، التزامات، تقييمات ذاتية، مع عرض تقويم.</t>
        </is>
      </c>
      <c r="G7" s="8" t="inlineStr">
        <is>
          <t>P1</t>
        </is>
      </c>
      <c r="H7" s="8" t="n">
        <v>10</v>
      </c>
      <c r="I7" s="8" t="inlineStr">
        <is>
          <t>-</t>
        </is>
      </c>
      <c r="J7" s="8" t="inlineStr">
        <is>
          <t>ok</t>
        </is>
      </c>
      <c r="K7" s="8" t="inlineStr">
        <is>
          <t>تعرض كل المهام المفتوحة للمستخدم مرتبة بالموعد ومع روابط مباشرة.</t>
        </is>
      </c>
      <c r="L7" s="8" t="inlineStr">
        <is>
          <t>تجربة مستخدم السوق</t>
        </is>
      </c>
    </row>
    <row r="8">
      <c r="A8" s="8" t="inlineStr">
        <is>
          <t>GRC-007</t>
        </is>
      </c>
      <c r="B8" s="8" t="inlineStr">
        <is>
          <t>R1</t>
        </is>
      </c>
      <c r="C8" s="8" t="inlineStr">
        <is>
          <t>التقارير</t>
        </is>
      </c>
      <c r="D8" s="8" t="inlineStr">
        <is>
          <t>تصدير XLSX وPDF أصلي وحزمة تقرير المجلس</t>
        </is>
      </c>
      <c r="E8" s="8" t="inlineStr">
        <is>
          <t>Native XLSX/PDF export and board pack</t>
        </is>
      </c>
      <c r="F8" s="8" t="inlineStr">
        <is>
          <t>تصدير Excel حقيقي وPDF للتقارير وحزمة دورية (لوحة، أعلى المخاطر، الخسائر، KRIs، المتأخرات) بالعربية RTL.</t>
        </is>
      </c>
      <c r="G8" s="8" t="inlineStr">
        <is>
          <t>P0</t>
        </is>
      </c>
      <c r="H8" s="8" t="n">
        <v>12</v>
      </c>
      <c r="I8" s="8" t="inlineStr">
        <is>
          <t>-</t>
        </is>
      </c>
      <c r="J8" s="8" t="inlineStr">
        <is>
          <t>ok</t>
        </is>
      </c>
      <c r="K8" s="8" t="inlineStr">
        <is>
          <t>ملف PDF عربي سليم؛ XLSX يحافظ على العربية والأرقام؛ بنفس صلاحيات الشاشة.</t>
        </is>
      </c>
      <c r="L8" s="8" t="inlineStr">
        <is>
          <t>اختبار POC</t>
        </is>
      </c>
    </row>
    <row r="9">
      <c r="A9" s="8" t="inlineStr">
        <is>
          <t>GRC-008</t>
        </is>
      </c>
      <c r="B9" s="8" t="inlineStr">
        <is>
          <t>R1</t>
        </is>
      </c>
      <c r="C9" s="8" t="inlineStr">
        <is>
          <t>المؤشرات</t>
        </is>
      </c>
      <c r="D9" s="8" t="inlineStr">
        <is>
          <t>KRIs متقدمة</t>
        </is>
      </c>
      <c r="E9" s="8" t="inlineStr">
        <is>
          <t>Advanced KRIs</t>
        </is>
      </c>
      <c r="F9" s="8" t="inlineStr">
        <is>
          <t>4 مستويات حدود، مصدر بيانات (يدوي/استيراد/API)، بوابة جودة بيانات، علامة «متأخر»، سجل خرق مع مبررات وتصعيد، مؤشرات مركبة، مراجعة دورية للمؤشر.</t>
        </is>
      </c>
      <c r="G9" s="8" t="inlineStr">
        <is>
          <t>P1</t>
        </is>
      </c>
      <c r="H9" s="8" t="n">
        <v>20</v>
      </c>
      <c r="I9" s="8" t="inlineStr">
        <is>
          <t>GRC-004,GRC-005</t>
        </is>
      </c>
      <c r="J9" s="8" t="inlineStr">
        <is>
          <t>cron</t>
        </is>
      </c>
      <c r="K9" s="8" t="inlineStr">
        <is>
          <t>خرق حرج يفتح سجل خرق ويُصعَّد؛ لا يُنشر مؤشر قبل التحقق؛ مؤشر مركب بمعادلة معتمدة.</t>
        </is>
      </c>
      <c r="L9" s="8" t="inlineStr">
        <is>
          <t>تحسين مقارنة العروض</t>
        </is>
      </c>
    </row>
    <row r="10">
      <c r="A10" s="8" t="inlineStr">
        <is>
          <t>GRC-009</t>
        </is>
      </c>
      <c r="B10" s="8" t="inlineStr">
        <is>
          <t>R1</t>
        </is>
      </c>
      <c r="C10" s="8" t="inlineStr">
        <is>
          <t>الأحداث</t>
        </is>
      </c>
      <c r="D10" s="8" t="inlineStr">
        <is>
          <t>تصنيف Basel وخطوط الأعمال والمستردات حسب المصدر</t>
        </is>
      </c>
      <c r="E10" s="8" t="inlineStr">
        <is>
          <t>Basel taxonomy, recovery sources, non-financial impact</t>
        </is>
      </c>
      <c r="F10" s="8" t="inlineStr">
        <is>
          <t>تصنيف أحداث Basel، خط عمل، منتج، نظام، مصادر استرداد (تأمين/عميل/موظف/مورد)، الأثر غير المالي، أنواع الحدث (فعلي، شبه، ربح، محتمل، مسترد كلياً).</t>
        </is>
      </c>
      <c r="G10" s="8" t="inlineStr">
        <is>
          <t>P1</t>
        </is>
      </c>
      <c r="H10" s="8" t="n">
        <v>15</v>
      </c>
      <c r="I10" s="8" t="inlineStr">
        <is>
          <t>-</t>
        </is>
      </c>
      <c r="J10" s="8" t="inlineStr">
        <is>
          <t>ok</t>
        </is>
      </c>
      <c r="K10" s="8" t="inlineStr">
        <is>
          <t>حقول إلزامية قابلة للتهيئة؛ تقرير خسائر حسب نوع Basel وخط العمل.</t>
        </is>
      </c>
      <c r="L10" s="8" t="inlineStr">
        <is>
          <t>Basel / SMA</t>
        </is>
      </c>
    </row>
    <row r="11">
      <c r="A11" s="8" t="inlineStr">
        <is>
          <t>GRC-010</t>
        </is>
      </c>
      <c r="B11" s="8" t="inlineStr">
        <is>
          <t>R1</t>
        </is>
      </c>
      <c r="C11" s="8" t="inlineStr">
        <is>
          <t>الأحداث</t>
        </is>
      </c>
      <c r="D11" s="8" t="inlineStr">
        <is>
          <t>عتبات التسجيل والتصعيد وبوابات الإغلاق وكشف التكرار</t>
        </is>
      </c>
      <c r="E11" s="8" t="inlineStr">
        <is>
          <t>Thresholds, closure gates, recurrence detection</t>
        </is>
      </c>
      <c r="F11" s="8" t="inlineStr">
        <is>
          <t>عتبات مالية للتصعيد، بوابة إغلاق (سبب جذري، قيمة مؤكدة، إجراءات معتمدة)، اقتراح تجميع الأحداث المتشابهة، وإطلاق إعادة تقييم الخطر.</t>
        </is>
      </c>
      <c r="G11" s="8" t="inlineStr">
        <is>
          <t>P1</t>
        </is>
      </c>
      <c r="H11" s="8" t="n">
        <v>12</v>
      </c>
      <c r="I11" s="8" t="inlineStr">
        <is>
          <t>GRC-004,GRC-005</t>
        </is>
      </c>
      <c r="J11" s="8" t="inlineStr">
        <is>
          <t>ok</t>
        </is>
      </c>
      <c r="K11" s="8" t="inlineStr">
        <is>
          <t>حادث فوق العتبة يُصعَّد تلقائياً؛ لا إغلاق دون استيفاء البوابة؛ اقتراح أنماط بقاعدة بسيطة.</t>
        </is>
      </c>
      <c r="L11" s="8" t="inlineStr">
        <is>
          <t>عروض متعددة</t>
        </is>
      </c>
    </row>
    <row r="12">
      <c r="A12" s="8" t="inlineStr">
        <is>
          <t>GRC-011</t>
        </is>
      </c>
      <c r="B12" s="8" t="inlineStr">
        <is>
          <t>R1</t>
        </is>
      </c>
      <c r="C12" s="8" t="inlineStr">
        <is>
          <t>القابلية</t>
        </is>
      </c>
      <c r="D12" s="8" t="inlineStr">
        <is>
          <t>مصفوفة صلاحيات قبول الخطر وفحص اتساق الحدود</t>
        </is>
      </c>
      <c r="E12" s="8" t="inlineStr">
        <is>
          <t>Risk acceptance authority matrix</t>
        </is>
      </c>
      <c r="F12" s="8" t="inlineStr">
        <is>
          <t>قبول الخطر المتبقي المتجاوز للحد يتطلب مستوى صلاحية محدداً؛ فحص اتساق حدود KRI مع القابلية.</t>
        </is>
      </c>
      <c r="G12" s="8" t="inlineStr">
        <is>
          <t>P1</t>
        </is>
      </c>
      <c r="H12" s="8" t="n">
        <v>10</v>
      </c>
      <c r="I12" s="8" t="inlineStr">
        <is>
          <t>GRC-004</t>
        </is>
      </c>
      <c r="J12" s="8" t="inlineStr">
        <is>
          <t>ok</t>
        </is>
      </c>
      <c r="K12" s="8" t="inlineStr">
        <is>
          <t>قبول بدون الصلاحية مرفوض؛ تقرير بالمخاطر المقبولة وصلاحياتها.</t>
        </is>
      </c>
      <c r="L12" s="8" t="inlineStr">
        <is>
          <t>ISO 31000/COSO</t>
        </is>
      </c>
    </row>
    <row r="13">
      <c r="A13" s="8" t="inlineStr">
        <is>
          <t>GRC-012</t>
        </is>
      </c>
      <c r="B13" s="8" t="inlineStr">
        <is>
          <t>R1</t>
        </is>
      </c>
      <c r="C13" s="8" t="inlineStr">
        <is>
          <t>RCSA</t>
        </is>
      </c>
      <c r="D13" s="8" t="inlineStr">
        <is>
          <t>دورات RCSA مجدولة وإعادة التقييم المحفّز</t>
        </is>
      </c>
      <c r="E13" s="8" t="inlineStr">
        <is>
          <t>Scheduled RCSA cycles and triggers</t>
        </is>
      </c>
      <c r="F13" s="8" t="inlineStr">
        <is>
          <t>جدولة سنوية/حسب الأهمية وإطلاق تلقائي، ومحفّزات (حادث جسيم، فشل ضابط رئيسي، منتج جديد، تغيير نظام/لائحة).</t>
        </is>
      </c>
      <c r="G13" s="8" t="inlineStr">
        <is>
          <t>P1</t>
        </is>
      </c>
      <c r="H13" s="8" t="n">
        <v>12</v>
      </c>
      <c r="I13" s="8" t="inlineStr">
        <is>
          <t>GRC-005</t>
        </is>
      </c>
      <c r="J13" s="8" t="inlineStr">
        <is>
          <t>cron</t>
        </is>
      </c>
      <c r="K13" s="8" t="inlineStr">
        <is>
          <t>تُطلق تقييمات الدورة تلقائياً؛ حادث جسيم يقترح إعادة تقييم للخطر المرتبط.</t>
        </is>
      </c>
      <c r="L13" s="8" t="inlineStr">
        <is>
          <t>Basel PSMOR (إدارة التغيير)</t>
        </is>
      </c>
    </row>
    <row r="14">
      <c r="A14" s="8" t="inlineStr">
        <is>
          <t>GRC-013</t>
        </is>
      </c>
      <c r="B14" s="8" t="inlineStr">
        <is>
          <t>R1</t>
        </is>
      </c>
      <c r="C14" s="8" t="inlineStr">
        <is>
          <t>الأمن</t>
        </is>
      </c>
      <c r="D14" s="8" t="inlineStr">
        <is>
          <t>التحقق الثنائي (MFA) وإعادة تعيين كلمة المرور بالبريد</t>
        </is>
      </c>
      <c r="E14" s="8" t="inlineStr">
        <is>
          <t>MFA (TOTP) and email password reset</t>
        </is>
      </c>
      <c r="F14" s="8" t="inlineStr">
        <is>
          <t>TOTP لمن يختاره المدير أو إلزامياً لأدوار محددة، رموز استرداد، إعادة تعيين كلمة مرور آمنة بالبريد.</t>
        </is>
      </c>
      <c r="G14" s="8" t="inlineStr">
        <is>
          <t>P1</t>
        </is>
      </c>
      <c r="H14" s="8" t="n">
        <v>8</v>
      </c>
      <c r="I14" s="8" t="inlineStr">
        <is>
          <t>GRC-005</t>
        </is>
      </c>
      <c r="J14" s="8" t="inlineStr">
        <is>
          <t>smtp</t>
        </is>
      </c>
      <c r="K14" s="8" t="inlineStr">
        <is>
          <t>حساب بـ MFA لا يدخل بدون رمز؛ إعادة التعيين برابط لمرة واحدة ينتهي سريعاً.</t>
        </is>
      </c>
      <c r="L14" s="8" t="inlineStr">
        <is>
          <t>ممارسة أمنية</t>
        </is>
      </c>
    </row>
    <row r="15">
      <c r="A15" s="8" t="inlineStr">
        <is>
          <t>GRC-014</t>
        </is>
      </c>
      <c r="B15" s="8" t="inlineStr">
        <is>
          <t>R1</t>
        </is>
      </c>
      <c r="C15" s="8" t="inlineStr">
        <is>
          <t>البيانات</t>
        </is>
      </c>
      <c r="D15" s="8" t="inlineStr">
        <is>
          <t>استيراد جماعي (CSV/XLSX) مع التحقق</t>
        </is>
      </c>
      <c r="E15" s="8" t="inlineStr">
        <is>
          <t>Bulk import with validation</t>
        </is>
      </c>
      <c r="F15" s="8" t="inlineStr">
        <is>
          <t>استيراد المخاطر والضوابط والمؤشرات وقراءاتها والتزامات الامتثال بقوالب، معاينة وأخطاء قبل الحفظ، وتسجيل في التدقيق.</t>
        </is>
      </c>
      <c r="G15" s="8" t="inlineStr">
        <is>
          <t>P1</t>
        </is>
      </c>
      <c r="H15" s="8" t="n">
        <v>10</v>
      </c>
      <c r="I15" s="8" t="inlineStr">
        <is>
          <t>-</t>
        </is>
      </c>
      <c r="J15" s="8" t="inlineStr">
        <is>
          <t>ok</t>
        </is>
      </c>
      <c r="K15" s="8" t="inlineStr">
        <is>
          <t>استيراد 500 صف مع تقرير أخطاء؛ لا حفظ جزئي؛ قابل للتراجع.</t>
        </is>
      </c>
      <c r="L15" s="8" t="inlineStr">
        <is>
          <t>ترحيل بيانات المصرف</t>
        </is>
      </c>
    </row>
    <row r="16">
      <c r="A16" s="8" t="inlineStr">
        <is>
          <t>GRC-015</t>
        </is>
      </c>
      <c r="B16" s="8" t="inlineStr">
        <is>
          <t>R2</t>
        </is>
      </c>
      <c r="C16" s="8" t="inlineStr">
        <is>
          <t>الاستمرارية</t>
        </is>
      </c>
      <c r="D16" s="8" t="inlineStr">
        <is>
          <t>تحليل الأثر على الأعمال وأهداف التعافي</t>
        </is>
      </c>
      <c r="E16" s="8" t="inlineStr">
        <is>
          <t>BIA and recovery objectives</t>
        </is>
      </c>
      <c r="F16" s="8" t="inlineStr">
        <is>
          <t>عمليات حرجة، أثر مالي/تشغيلي/قانوني/سمعة، MTPD/RTO/RPO مع فحص اتساق، المصادر والاعتماديات والمورّدين.</t>
        </is>
      </c>
      <c r="G16" s="8" t="inlineStr">
        <is>
          <t>P0</t>
        </is>
      </c>
      <c r="H16" s="8" t="n">
        <v>20</v>
      </c>
      <c r="I16" s="8" t="inlineStr">
        <is>
          <t>GRC-001</t>
        </is>
      </c>
      <c r="J16" s="8" t="inlineStr">
        <is>
          <t>ok</t>
        </is>
      </c>
      <c r="K16" s="8" t="inlineStr">
        <is>
          <t>لا اعتماد لخطة إذا RTO أقصر من قدرة النظام الداعم؛ تقرير BIA لكل إدارة.</t>
        </is>
      </c>
      <c r="L16" s="8" t="inlineStr">
        <is>
          <t>Basel Operational Resilience / ISO 22301</t>
        </is>
      </c>
    </row>
    <row r="17">
      <c r="A17" s="8" t="inlineStr">
        <is>
          <t>GRC-016</t>
        </is>
      </c>
      <c r="B17" s="8" t="inlineStr">
        <is>
          <t>R2</t>
        </is>
      </c>
      <c r="C17" s="8" t="inlineStr">
        <is>
          <t>الاستمرارية</t>
        </is>
      </c>
      <c r="D17" s="8" t="inlineStr">
        <is>
          <t>خطط الاستمرارية والاختبارات وسجل الأزمة</t>
        </is>
      </c>
      <c r="E17" s="8" t="inlineStr">
        <is>
          <t>BCP, exercises, crisis log</t>
        </is>
      </c>
      <c r="F17" s="8" t="inlineStr">
        <is>
          <t>خطط لكل إدارة، فرق الاستجابة وشجرة الاتصال، سيناريوهات اختبار ونتائج وإجراء تصحيحي إلزامي عند الفشل، سجل أزمة زمني، مراجعة بعد الحدث.</t>
        </is>
      </c>
      <c r="G17" s="8" t="inlineStr">
        <is>
          <t>P1</t>
        </is>
      </c>
      <c r="H17" s="8" t="n">
        <v>25</v>
      </c>
      <c r="I17" s="8" t="inlineStr">
        <is>
          <t>GRC-015,GRC-004</t>
        </is>
      </c>
      <c r="J17" s="8" t="inlineStr">
        <is>
          <t>ok</t>
        </is>
      </c>
      <c r="K17" s="8" t="inlineStr">
        <is>
          <t>اختبار فاشل يفتح إجراءً وموعد إعادة اختبار؛ سجل أزمة بتسلسل زمني.</t>
        </is>
      </c>
      <c r="L17" s="8" t="inlineStr">
        <is>
          <t>ISO 22301</t>
        </is>
      </c>
    </row>
    <row r="18">
      <c r="A18" s="8" t="inlineStr">
        <is>
          <t>GRC-017</t>
        </is>
      </c>
      <c r="B18" s="8" t="inlineStr">
        <is>
          <t>R2</t>
        </is>
      </c>
      <c r="C18" s="8" t="inlineStr">
        <is>
          <t>الاستمرارية</t>
        </is>
      </c>
      <c r="D18" s="8" t="inlineStr">
        <is>
          <t>الإشعار الطارئ (بريد/SMS) وحدود تحمل الانقطاع</t>
        </is>
      </c>
      <c r="E18" s="8" t="inlineStr">
        <is>
          <t>Emergency notification and impact tolerance</t>
        </is>
      </c>
      <c r="F18" s="8" t="inlineStr">
        <is>
          <t>قوائم نداء، قوالب رسائل، مزود SMS عبر API، تأكيد الاستلام، وتعريف حدود تحمل الانقطاع للخدمات الحرجة.</t>
        </is>
      </c>
      <c r="G18" s="8" t="inlineStr">
        <is>
          <t>P2</t>
        </is>
      </c>
      <c r="H18" s="8" t="n">
        <v>12</v>
      </c>
      <c r="I18" s="8" t="inlineStr">
        <is>
          <t>GRC-005</t>
        </is>
      </c>
      <c r="J18" s="8" t="inlineStr">
        <is>
          <t>infra</t>
        </is>
      </c>
      <c r="K18" s="8" t="inlineStr">
        <is>
          <t>إرسال تجريبي إلى مجموعة مع تأكيد استلام؛ سجل بالنتائج.</t>
        </is>
      </c>
      <c r="L18" s="8" t="inlineStr">
        <is>
          <t>Basel Operational Resilience</t>
        </is>
      </c>
    </row>
    <row r="19">
      <c r="A19" s="8" t="inlineStr">
        <is>
          <t>GRC-018</t>
        </is>
      </c>
      <c r="B19" s="8" t="inlineStr">
        <is>
          <t>R2</t>
        </is>
      </c>
      <c r="C19" s="8" t="inlineStr">
        <is>
          <t>الامتثال</t>
        </is>
      </c>
      <c r="D19" s="8" t="inlineStr">
        <is>
          <t>سجل التعليمات والتعاميم الرقابية والمراسلات</t>
        </is>
      </c>
      <c r="E19" s="8" t="inlineStr">
        <is>
          <t>Regulatory instruction/circular/correspondence registers</t>
        </is>
      </c>
      <c r="F19" s="8" t="inlineStr">
        <is>
          <t>تعليمات على مستوى المادة، تعاميم واردة، توزيع وتأكيد استلام، مراسلات مع المصرف المركزي، ربط بالمخاطر والضوابط والسياسات.</t>
        </is>
      </c>
      <c r="G19" s="8" t="inlineStr">
        <is>
          <t>P1</t>
        </is>
      </c>
      <c r="H19" s="8" t="n">
        <v>18</v>
      </c>
      <c r="I19" s="8" t="inlineStr">
        <is>
          <t>GRC-001</t>
        </is>
      </c>
      <c r="J19" s="8" t="inlineStr">
        <is>
          <t>ok</t>
        </is>
      </c>
      <c r="K19" s="8" t="inlineStr">
        <is>
          <t>تعميم جديد يُوزَّع على إدارات مع تتبع الاستلام والإجراء.</t>
        </is>
      </c>
      <c r="L19" s="8" t="inlineStr">
        <is>
          <t>تعليمات المصرف المركزي</t>
        </is>
      </c>
    </row>
    <row r="20">
      <c r="A20" s="8" t="inlineStr">
        <is>
          <t>GRC-019</t>
        </is>
      </c>
      <c r="B20" s="8" t="inlineStr">
        <is>
          <t>R2</t>
        </is>
      </c>
      <c r="C20" s="8" t="inlineStr">
        <is>
          <t>الامتثال</t>
        </is>
      </c>
      <c r="D20" s="8" t="inlineStr">
        <is>
          <t>فحوصات الامتثال الدورية ومؤشرات الامتثال</t>
        </is>
      </c>
      <c r="E20" s="8" t="inlineStr">
        <is>
          <t>Periodic compliance tests and KPIs</t>
        </is>
      </c>
      <c r="F20" s="8" t="inlineStr">
        <is>
          <t>قوائم تحقق دورية بمسؤول وموعد، نتائج وأدلة، مؤشرات امتثال وتقرير امتثال.</t>
        </is>
      </c>
      <c r="G20" s="8" t="inlineStr">
        <is>
          <t>P1</t>
        </is>
      </c>
      <c r="H20" s="8" t="n">
        <v>15</v>
      </c>
      <c r="I20" s="8" t="inlineStr">
        <is>
          <t>GRC-018,GRC-005</t>
        </is>
      </c>
      <c r="J20" s="8" t="inlineStr">
        <is>
          <t>cron</t>
        </is>
      </c>
      <c r="K20" s="8" t="inlineStr">
        <is>
          <t>فحص مجدول يتحول إلى مهمة؛ تقرير نسبة الامتثال حسب الإدارة.</t>
        </is>
      </c>
      <c r="L20" s="8" t="inlineStr">
        <is>
          <t>عدة عروض</t>
        </is>
      </c>
    </row>
    <row r="21">
      <c r="A21" s="8" t="inlineStr">
        <is>
          <t>GRC-020</t>
        </is>
      </c>
      <c r="B21" s="8" t="inlineStr">
        <is>
          <t>R2</t>
        </is>
      </c>
      <c r="C21" s="8" t="inlineStr">
        <is>
          <t>الشرعية</t>
        </is>
      </c>
      <c r="D21" s="8" t="inlineStr">
        <is>
          <t>وحدة الامتثال الشرعي</t>
        </is>
      </c>
      <c r="E21" s="8" t="inlineStr">
        <is>
          <t>Sharia compliance module</t>
        </is>
      </c>
      <c r="F21" s="8" t="inlineStr">
        <is>
          <t>سجل قرارات/فتاوى هيئة الرقابة الشرعية وربطها بالمنتجات والعقود، المراجعة/التدقيق الشرعي وملاحظاتها، أحداث عدم الالتزام الشرعي وتتبعها، تحويل الدخل المحرّم وتطهيره، تقرير سنوي للالتزام الشرعي.</t>
        </is>
      </c>
      <c r="G21" s="8" t="inlineStr">
        <is>
          <t>P0</t>
        </is>
      </c>
      <c r="H21" s="8" t="n">
        <v>30</v>
      </c>
      <c r="I21" s="8" t="inlineStr">
        <is>
          <t>GRC-004</t>
        </is>
      </c>
      <c r="J21" s="8" t="inlineStr">
        <is>
          <t>ok</t>
        </is>
      </c>
      <c r="K21" s="8" t="inlineStr">
        <is>
          <t>حدث عدم التزام شرعي يُصعَّد لهيئة الرقابة الشرعية ويُقفل بقرارها؛ تقرير سنوي من البيانات.</t>
        </is>
      </c>
      <c r="L21" s="8" t="inlineStr">
        <is>
          <t>IFSB-10 / AAOIFI / SAMA</t>
        </is>
      </c>
    </row>
    <row r="22">
      <c r="A22" s="8" t="inlineStr">
        <is>
          <t>GRC-021</t>
        </is>
      </c>
      <c r="B22" s="8" t="inlineStr">
        <is>
          <t>R2</t>
        </is>
      </c>
      <c r="C22" s="8" t="inlineStr">
        <is>
          <t>الشرعية</t>
        </is>
      </c>
      <c r="D22" s="8" t="inlineStr">
        <is>
          <t>تقييم مخاطر خاصة بالصيرفة الإسلامية</t>
        </is>
      </c>
      <c r="E22" s="8" t="inlineStr">
        <is>
          <t>Islamic-specific risk assessments</t>
        </is>
      </c>
      <c r="F22" s="8" t="inlineStr">
        <is>
          <t>نماذج تقييم لمخاطر التجارة المنقولة ومعدل العائد والاستثمار بالمشاركة والأصول المؤجّرة، وربط بحسابات الاستثمار، ومؤشرات KRI شرعية.</t>
        </is>
      </c>
      <c r="G22" s="8" t="inlineStr">
        <is>
          <t>P2</t>
        </is>
      </c>
      <c r="H22" s="8" t="n">
        <v>15</v>
      </c>
      <c r="I22" s="8" t="inlineStr">
        <is>
          <t>GRC-001</t>
        </is>
      </c>
      <c r="J22" s="8" t="inlineStr">
        <is>
          <t>ok</t>
        </is>
      </c>
      <c r="K22" s="8" t="inlineStr">
        <is>
          <t>قالب تقييم لكل نوع خطر إسلامي مع مؤشرات افتراضية قابلة للتعديل.</t>
        </is>
      </c>
      <c r="L22" s="8" t="inlineStr">
        <is>
          <t>IFSB-1</t>
        </is>
      </c>
    </row>
    <row r="23">
      <c r="A23" s="8" t="inlineStr">
        <is>
          <t>GRC-022</t>
        </is>
      </c>
      <c r="B23" s="8" t="inlineStr">
        <is>
          <t>R2</t>
        </is>
      </c>
      <c r="C23" s="8" t="inlineStr">
        <is>
          <t>الحوكمة</t>
        </is>
      </c>
      <c r="D23" s="8" t="inlineStr">
        <is>
          <t>حوكمة المجلس واللجان: التشكيل والاجتماعات والمحاضر</t>
        </is>
      </c>
      <c r="E23" s="8" t="inlineStr">
        <is>
          <t>Board and committee governance</t>
        </is>
      </c>
      <c r="F23" s="8" t="inlineStr">
        <is>
          <t>تشكيل المجلس واللجان وأعضاؤها، جدولة الاجتماعات، جدول أعمال، محاضر، حضور، تقييم أداء، وفحص الالتزام بتعليمات المصرف المركزي (التشكيل، عدد الجلسات).</t>
        </is>
      </c>
      <c r="G23" s="8" t="inlineStr">
        <is>
          <t>P1</t>
        </is>
      </c>
      <c r="H23" s="8" t="n">
        <v>25</v>
      </c>
      <c r="I23" s="8" t="inlineStr">
        <is>
          <t>GRC-004</t>
        </is>
      </c>
      <c r="J23" s="8" t="inlineStr">
        <is>
          <t>ok</t>
        </is>
      </c>
      <c r="K23" s="8" t="inlineStr">
        <is>
          <t>اجتماع يولّد مهام من القرارات؛ تقرير التزام بعدد الجلسات والحضور.</t>
        </is>
      </c>
      <c r="L23" s="8" t="inlineStr">
        <is>
          <t>CBL Governance Code</t>
        </is>
      </c>
    </row>
    <row r="24">
      <c r="A24" s="8" t="inlineStr">
        <is>
          <t>GRC-023</t>
        </is>
      </c>
      <c r="B24" s="8" t="inlineStr">
        <is>
          <t>R2</t>
        </is>
      </c>
      <c r="C24" s="8" t="inlineStr">
        <is>
          <t>الحوكمة</t>
        </is>
      </c>
      <c r="D24" s="8" t="inlineStr">
        <is>
          <t>هيكل تنظيمي متعدد المستويات وخطوط الدفاع</t>
        </is>
      </c>
      <c r="E24" s="8" t="inlineStr">
        <is>
          <t>Multi-level org hierarchy and 3LoD</t>
        </is>
      </c>
      <c r="F24" s="8" t="inlineStr">
        <is>
          <t>شجرة تنظيمية بعدد مستويات مرن، مالكو أدوار، نطاق صلاحيات حسب الشجرة، تجميع المخاطر صعوداً.</t>
        </is>
      </c>
      <c r="G24" s="8" t="inlineStr">
        <is>
          <t>P1</t>
        </is>
      </c>
      <c r="H24" s="8" t="n">
        <v>15</v>
      </c>
      <c r="I24" s="8" t="inlineStr">
        <is>
          <t>-</t>
        </is>
      </c>
      <c r="J24" s="8" t="inlineStr">
        <is>
          <t>ok</t>
        </is>
      </c>
      <c r="K24" s="8" t="inlineStr">
        <is>
          <t>تجميع نتائج الإدارة الفرعية في الأعلى؛ صلاحية على فرع الشجرة.</t>
        </is>
      </c>
      <c r="L24" s="8" t="inlineStr">
        <is>
          <t>عدة عروض</t>
        </is>
      </c>
    </row>
    <row r="25">
      <c r="A25" s="8" t="inlineStr">
        <is>
          <t>GRC-024</t>
        </is>
      </c>
      <c r="B25" s="8" t="inlineStr">
        <is>
          <t>R2</t>
        </is>
      </c>
      <c r="C25" s="8" t="inlineStr">
        <is>
          <t>الحوكمة</t>
        </is>
      </c>
      <c r="D25" s="8" t="inlineStr">
        <is>
          <t>مكتبات العمليات والمنتجات والخدمات والأصول</t>
        </is>
      </c>
      <c r="E25" s="8" t="inlineStr">
        <is>
          <t>Process, product, service and asset libraries</t>
        </is>
      </c>
      <c r="F25" s="8" t="inlineStr">
        <is>
          <t>عمليات بمالك، منتجات وخدمات حرجة، أصول، ربطها بالمخاطر والحوادث وBIA؛ منع خطر بلا مرجع مؤسسي.</t>
        </is>
      </c>
      <c r="G25" s="8" t="inlineStr">
        <is>
          <t>P1</t>
        </is>
      </c>
      <c r="H25" s="8" t="n">
        <v>15</v>
      </c>
      <c r="I25" s="8" t="inlineStr">
        <is>
          <t>GRC-023</t>
        </is>
      </c>
      <c r="J25" s="8" t="inlineStr">
        <is>
          <t>ok</t>
        </is>
      </c>
      <c r="K25" s="8" t="inlineStr">
        <is>
          <t>لا يُنشأ RCSA إلا على عملية معتمدة؛ تقرير المخاطر حسب العملية.</t>
        </is>
      </c>
      <c r="L25" s="8" t="inlineStr">
        <is>
          <t>Basel PSMOR</t>
        </is>
      </c>
    </row>
    <row r="26">
      <c r="A26" s="8" t="inlineStr">
        <is>
          <t>GRC-025</t>
        </is>
      </c>
      <c r="B26" s="8" t="inlineStr">
        <is>
          <t>R2</t>
        </is>
      </c>
      <c r="C26" s="8" t="inlineStr">
        <is>
          <t>الحوكمة</t>
        </is>
      </c>
      <c r="D26" s="8" t="inlineStr">
        <is>
          <t>مسار اعتماد السياسات وإقرار الاطلاع</t>
        </is>
      </c>
      <c r="E26" s="8" t="inlineStr">
        <is>
          <t>Policy approval and attestation</t>
        </is>
      </c>
      <c r="F26" s="8" t="inlineStr">
        <is>
          <t>مسار مسودة←مراجعة←اعتماد←نشر، إقرار الموظفين بالاطلاع، تذكير بالمراجعة الدورية.</t>
        </is>
      </c>
      <c r="G26" s="8" t="inlineStr">
        <is>
          <t>P2</t>
        </is>
      </c>
      <c r="H26" s="8" t="n">
        <v>12</v>
      </c>
      <c r="I26" s="8" t="inlineStr">
        <is>
          <t>GRC-004,GRC-005</t>
        </is>
      </c>
      <c r="J26" s="8" t="inlineStr">
        <is>
          <t>ok</t>
        </is>
      </c>
      <c r="K26" s="8" t="inlineStr">
        <is>
          <t>سياسة معتمدة تُنشر وتطلب إقرار فئات محددة وتتابع نسب الإقرار.</t>
        </is>
      </c>
      <c r="L26" s="8" t="inlineStr">
        <is>
          <t>عدة عروض</t>
        </is>
      </c>
    </row>
    <row r="27">
      <c r="A27" s="8" t="inlineStr">
        <is>
          <t>GRC-026</t>
        </is>
      </c>
      <c r="B27" s="8" t="inlineStr">
        <is>
          <t>R2</t>
        </is>
      </c>
      <c r="C27" s="8" t="inlineStr">
        <is>
          <t>الإبلاغ</t>
        </is>
      </c>
      <c r="D27" s="8" t="inlineStr">
        <is>
          <t>مصمم تقارير وجدولة وإرسالها</t>
        </is>
      </c>
      <c r="E27" s="8" t="inlineStr">
        <is>
          <t>Report designer and scheduled delivery</t>
        </is>
      </c>
      <c r="F27" s="8" t="inlineStr">
        <is>
          <t>اختيار الحقول والتصفية والتجميع، حفظ القالب، جدولة وإرسال بالبريد بصيغة PDF/XLSX.</t>
        </is>
      </c>
      <c r="G27" s="8" t="inlineStr">
        <is>
          <t>P2</t>
        </is>
      </c>
      <c r="H27" s="8" t="n">
        <v>20</v>
      </c>
      <c r="I27" s="8" t="inlineStr">
        <is>
          <t>GRC-005,GRC-007</t>
        </is>
      </c>
      <c r="J27" s="8" t="inlineStr">
        <is>
          <t>cron</t>
        </is>
      </c>
      <c r="K27" s="8" t="inlineStr">
        <is>
          <t>تقرير محفوظ يُرسل أسبوعياً لقائمة مستلمين بصلاحياتهم.</t>
        </is>
      </c>
      <c r="L27" s="8" t="inlineStr">
        <is>
          <t>FOCUS/Rabbit-Hole</t>
        </is>
      </c>
    </row>
    <row r="28">
      <c r="A28" s="8" t="inlineStr">
        <is>
          <t>GRC-027</t>
        </is>
      </c>
      <c r="B28" s="8" t="inlineStr">
        <is>
          <t>R2</t>
        </is>
      </c>
      <c r="C28" s="8" t="inlineStr">
        <is>
          <t>المنصة</t>
        </is>
      </c>
      <c r="D28" s="8" t="inlineStr">
        <is>
          <t>التقويم الهجري</t>
        </is>
      </c>
      <c r="E28" s="8" t="inlineStr">
        <is>
          <t>Hijri calendar</t>
        </is>
      </c>
      <c r="F28" s="8" t="inlineStr">
        <is>
          <t>إدخال وعرض التواريخ بالتقويم الهجري والميلادي حسب تفضيل المستخدم.</t>
        </is>
      </c>
      <c r="G28" s="8" t="inlineStr">
        <is>
          <t>P2</t>
        </is>
      </c>
      <c r="H28" s="8" t="n">
        <v>6</v>
      </c>
      <c r="I28" s="8" t="inlineStr">
        <is>
          <t>-</t>
        </is>
      </c>
      <c r="J28" s="8" t="inlineStr">
        <is>
          <t>ok</t>
        </is>
      </c>
      <c r="K28" s="8" t="inlineStr">
        <is>
          <t>تحويل صحيح وعرض مزدوج في النماذج والتقارير.</t>
        </is>
      </c>
      <c r="L28" s="8" t="inlineStr">
        <is>
          <t>Rabbit-Hole</t>
        </is>
      </c>
    </row>
    <row r="29">
      <c r="A29" s="8" t="inlineStr">
        <is>
          <t>GRC-028</t>
        </is>
      </c>
      <c r="B29" s="8" t="inlineStr">
        <is>
          <t>R3</t>
        </is>
      </c>
      <c r="C29" s="8" t="inlineStr">
        <is>
          <t>التدقيق</t>
        </is>
      </c>
      <c r="D29" s="8" t="inlineStr">
        <is>
          <t>التدقيق الداخلي المبني على المخاطر (مبسّط)</t>
        </is>
      </c>
      <c r="E29" s="8" t="inlineStr">
        <is>
          <t>Risk-based internal audit (lite)</t>
        </is>
      </c>
      <c r="F29" s="8" t="inlineStr">
        <is>
          <t>عالم التدقيق، خطة سنوية من تقييم المخاطر، أوراق عمل بقوائم تحقق، ملاحظات وتوصيات تتحول إلى إجراءات وتتبع.</t>
        </is>
      </c>
      <c r="G29" s="8" t="inlineStr">
        <is>
          <t>P2</t>
        </is>
      </c>
      <c r="H29" s="8" t="n">
        <v>35</v>
      </c>
      <c r="I29" s="8" t="inlineStr">
        <is>
          <t>GRC-001,GRC-004</t>
        </is>
      </c>
      <c r="J29" s="8" t="inlineStr">
        <is>
          <t>ok</t>
        </is>
      </c>
      <c r="K29" s="8" t="inlineStr">
        <is>
          <t>ملاحظة تدقيق تنتج إجراءً بمسؤول وموعد وتظهر للإدارة المعنية.</t>
        </is>
      </c>
      <c r="L29" s="8" t="inlineStr">
        <is>
          <t>عدة عروض</t>
        </is>
      </c>
    </row>
    <row r="30">
      <c r="A30" s="8" t="inlineStr">
        <is>
          <t>GRC-029</t>
        </is>
      </c>
      <c r="B30" s="8" t="inlineStr">
        <is>
          <t>R3</t>
        </is>
      </c>
      <c r="C30" s="8" t="inlineStr">
        <is>
          <t>الأطراف الثالثة</t>
        </is>
      </c>
      <c r="D30" s="8" t="inlineStr">
        <is>
          <t>مخاطر الأطراف الثالثة والتعهيد</t>
        </is>
      </c>
      <c r="E30" s="8" t="inlineStr">
        <is>
          <t>Third-party risk</t>
        </is>
      </c>
      <c r="F30" s="8" t="inlineStr">
        <is>
          <t>سجل موردين، تصنيف الحرجية، استبيانات العناية الواجبة، عقود ومؤشرات أداء ومخاطر، خطط خروج.</t>
        </is>
      </c>
      <c r="G30" s="8" t="inlineStr">
        <is>
          <t>P2</t>
        </is>
      </c>
      <c r="H30" s="8" t="n">
        <v>20</v>
      </c>
      <c r="I30" s="8" t="inlineStr">
        <is>
          <t>GRC-001</t>
        </is>
      </c>
      <c r="J30" s="8" t="inlineStr">
        <is>
          <t>ok</t>
        </is>
      </c>
      <c r="K30" s="8" t="inlineStr">
        <is>
          <t>تقييم مورد حرج يُكرر سنوياً ويرتبط بـBIA.</t>
        </is>
      </c>
      <c r="L30" s="8" t="inlineStr">
        <is>
          <t>Basel / CBUAE</t>
        </is>
      </c>
    </row>
    <row r="31">
      <c r="A31" s="8" t="inlineStr">
        <is>
          <t>GRC-030</t>
        </is>
      </c>
      <c r="B31" s="8" t="inlineStr">
        <is>
          <t>R3</t>
        </is>
      </c>
      <c r="C31" s="8" t="inlineStr">
        <is>
          <t>تقنية المعلومات</t>
        </is>
      </c>
      <c r="D31" s="8" t="inlineStr">
        <is>
          <t>مخاطر تقنية المعلومات والأمن السيبراني</t>
        </is>
      </c>
      <c r="E31" s="8" t="inlineStr">
        <is>
          <t>IT and cyber risk</t>
        </is>
      </c>
      <c r="F31" s="8" t="inlineStr">
        <is>
          <t>سجل أصول معلوماتية وتصنيف، ربط الضوابط بـISO 27001/NIST (بيان التطبيق SoA)، ثغرات، حوادث أمنية.</t>
        </is>
      </c>
      <c r="G31" s="8" t="inlineStr">
        <is>
          <t>P2</t>
        </is>
      </c>
      <c r="H31" s="8" t="n">
        <v>25</v>
      </c>
      <c r="I31" s="8" t="inlineStr">
        <is>
          <t>GRC-001</t>
        </is>
      </c>
      <c r="J31" s="8" t="inlineStr">
        <is>
          <t>ok</t>
        </is>
      </c>
      <c r="K31" s="8" t="inlineStr">
        <is>
          <t>مصفوفة ضوابط ISO مرتبطة بمخاطر وأصول مع تقرير فجوات.</t>
        </is>
      </c>
      <c r="L31" s="8" t="inlineStr">
        <is>
          <t>ISO 27001/27005</t>
        </is>
      </c>
    </row>
    <row r="32">
      <c r="A32" s="8" t="inlineStr">
        <is>
          <t>GRC-031</t>
        </is>
      </c>
      <c r="B32" s="8" t="inlineStr">
        <is>
          <t>R3</t>
        </is>
      </c>
      <c r="C32" s="8" t="inlineStr">
        <is>
          <t>التكامل</t>
        </is>
      </c>
      <c r="D32" s="8" t="inlineStr">
        <is>
          <t>واجهة REST وصلاحيات الرموز و Webhooks</t>
        </is>
      </c>
      <c r="E32" s="8" t="inlineStr">
        <is>
          <t>REST API with tokens</t>
        </is>
      </c>
      <c r="F32" s="8" t="inlineStr">
        <is>
          <t>واجهات قراءة/كتابة موثقة (OpenAPI) برموز بنطاق محدد، حدود معدل، سجل تدقيق، لاستيراد الخسائر وقراءات KRI.</t>
        </is>
      </c>
      <c r="G32" s="8" t="inlineStr">
        <is>
          <t>P1</t>
        </is>
      </c>
      <c r="H32" s="8" t="n">
        <v>20</v>
      </c>
      <c r="I32" s="8" t="inlineStr">
        <is>
          <t>-</t>
        </is>
      </c>
      <c r="J32" s="8" t="inlineStr">
        <is>
          <t>ok</t>
        </is>
      </c>
      <c r="K32" s="8" t="inlineStr">
        <is>
          <t>عميل خارجي يرسل قراءة KRI ويقرأ المخاطر ضمن نطاق رمزه؛ كل نداء مسجل.</t>
        </is>
      </c>
      <c r="L32" s="8" t="inlineStr">
        <is>
          <t>اختبار POC</t>
        </is>
      </c>
    </row>
    <row r="33">
      <c r="A33" s="8" t="inlineStr">
        <is>
          <t>GRC-032</t>
        </is>
      </c>
      <c r="B33" s="8" t="inlineStr">
        <is>
          <t>R3</t>
        </is>
      </c>
      <c r="C33" s="8" t="inlineStr">
        <is>
          <t>التكامل</t>
        </is>
      </c>
      <c r="D33" s="8" t="inlineStr">
        <is>
          <t>الدخول الموحد (OIDC/SAML) وLDAP/AD</t>
        </is>
      </c>
      <c r="E33" s="8" t="inlineStr">
        <is>
          <t>SSO via OIDC/SAML and LDAP</t>
        </is>
      </c>
      <c r="F33" s="8" t="inlineStr">
        <is>
          <t>ربط مع موفر هوية المصرف؛ مزامنة المجموعات مع الأدوار والنطاق.</t>
        </is>
      </c>
      <c r="G33" s="8" t="inlineStr">
        <is>
          <t>P1</t>
        </is>
      </c>
      <c r="H33" s="8" t="n">
        <v>15</v>
      </c>
      <c r="I33" s="8" t="inlineStr">
        <is>
          <t>-</t>
        </is>
      </c>
      <c r="J33" s="8" t="inlineStr">
        <is>
          <t>infra</t>
        </is>
      </c>
      <c r="K33" s="8" t="inlineStr">
        <is>
          <t>دخول مستخدم من AD يُعيَّن للدور الصحيح؛ تعطيله في AD يمنع الدخول. يتطلب مسار شبكة إلى AD (غير متاح عادةً على استضافة مشتركة).</t>
        </is>
      </c>
      <c r="L33" s="8" t="inlineStr">
        <is>
          <t>POC / مصارف</t>
        </is>
      </c>
    </row>
    <row r="34">
      <c r="A34" s="8" t="inlineStr">
        <is>
          <t>GRC-033</t>
        </is>
      </c>
      <c r="B34" s="8" t="inlineStr">
        <is>
          <t>R3</t>
        </is>
      </c>
      <c r="C34" s="8" t="inlineStr">
        <is>
          <t>التكامل</t>
        </is>
      </c>
      <c r="D34" s="8" t="inlineStr">
        <is>
          <t>ربط النظام المصرفي والأستاذ العام (تسوية الخسائر)</t>
        </is>
      </c>
      <c r="E34" s="8" t="inlineStr">
        <is>
          <t>Core banking / GL integration</t>
        </is>
      </c>
      <c r="F34" s="8" t="inlineStr">
        <is>
          <t>استيراد قيود أو تقارير للتسوية مع الخسائر المسجلة وقراءات KRI آلية.</t>
        </is>
      </c>
      <c r="G34" s="8" t="inlineStr">
        <is>
          <t>P2</t>
        </is>
      </c>
      <c r="H34" s="8" t="n">
        <v>25</v>
      </c>
      <c r="I34" s="8" t="inlineStr">
        <is>
          <t>GRC-031</t>
        </is>
      </c>
      <c r="J34" s="8" t="inlineStr">
        <is>
          <t>infra</t>
        </is>
      </c>
      <c r="K34" s="8" t="inlineStr">
        <is>
          <t>تقرير فروقات بين الخسائر والقيود؛ يعتمد على واجهات النظام المصرفي.</t>
        </is>
      </c>
      <c r="L34" s="8" t="inlineStr">
        <is>
          <t>عدة عروض</t>
        </is>
      </c>
    </row>
    <row r="35">
      <c r="A35" s="8" t="inlineStr">
        <is>
          <t>GRC-034</t>
        </is>
      </c>
      <c r="B35" s="8" t="inlineStr">
        <is>
          <t>R4</t>
        </is>
      </c>
      <c r="C35" s="8" t="inlineStr">
        <is>
          <t>متقدم</t>
        </is>
      </c>
      <c r="D35" s="8" t="inlineStr">
        <is>
          <t>المخاطر البيئية والاجتماعية والحوكمة (ESG)</t>
        </is>
      </c>
      <c r="E35" s="8" t="inlineStr">
        <is>
          <t>ESG risk</t>
        </is>
      </c>
      <c r="F35" s="8" t="inlineStr">
        <is>
          <t>تصنيفات ESG وربطها بالعمليات والمخاطر والأحداث والمؤشرات.</t>
        </is>
      </c>
      <c r="G35" s="8" t="inlineStr">
        <is>
          <t>P3</t>
        </is>
      </c>
      <c r="H35" s="8" t="n">
        <v>20</v>
      </c>
      <c r="I35" s="8" t="inlineStr">
        <is>
          <t>GRC-024</t>
        </is>
      </c>
      <c r="J35" s="8" t="inlineStr">
        <is>
          <t>ok</t>
        </is>
      </c>
      <c r="K35" s="8" t="inlineStr">
        <is>
          <t>تقييم ESG مرتبط بخطر تشغيلي دون ازدواج.</t>
        </is>
      </c>
      <c r="L35" s="8" t="inlineStr">
        <is>
          <t>Shamil / SHIRA</t>
        </is>
      </c>
    </row>
    <row r="36">
      <c r="A36" s="8" t="inlineStr">
        <is>
          <t>GRC-035</t>
        </is>
      </c>
      <c r="B36" s="8" t="inlineStr">
        <is>
          <t>R4</t>
        </is>
      </c>
      <c r="C36" s="8" t="inlineStr">
        <is>
          <t>متقدم</t>
        </is>
      </c>
      <c r="D36" s="8" t="inlineStr">
        <is>
          <t>اختبارات الضغط وتحليل السيناريو</t>
        </is>
      </c>
      <c r="E36" s="8" t="inlineStr">
        <is>
          <t>Stress testing and scenario analysis</t>
        </is>
      </c>
      <c r="F36" s="8" t="inlineStr">
        <is>
          <t>سيناريوهات خسائر تشغيلية ومؤشرات ضغط (لا يشمل حساب رأس المال).</t>
        </is>
      </c>
      <c r="G36" s="8" t="inlineStr">
        <is>
          <t>P3</t>
        </is>
      </c>
      <c r="H36" s="8" t="n">
        <v>25</v>
      </c>
      <c r="I36" s="8" t="inlineStr">
        <is>
          <t>GRC-009</t>
        </is>
      </c>
      <c r="J36" s="8" t="inlineStr">
        <is>
          <t>ok</t>
        </is>
      </c>
      <c r="K36" s="8" t="inlineStr">
        <is>
          <t>سيناريو بمعاملات يُنتج أثراً مقدراً وتقريراً.</t>
        </is>
      </c>
      <c r="L36" s="8" t="inlineStr">
        <is>
          <t>Basel / IFSB</t>
        </is>
      </c>
    </row>
    <row r="37">
      <c r="A37" s="8" t="inlineStr">
        <is>
          <t>GRC-036</t>
        </is>
      </c>
      <c r="B37" s="8" t="inlineStr">
        <is>
          <t>R4</t>
        </is>
      </c>
      <c r="C37" s="8" t="inlineStr">
        <is>
          <t>متقدم</t>
        </is>
      </c>
      <c r="D37" s="8" t="inlineStr">
        <is>
          <t>تحليلات الأنماط وتنبؤ خرق KRI</t>
        </is>
      </c>
      <c r="E37" s="8" t="inlineStr">
        <is>
          <t>Pattern analytics and KRI forecasting</t>
        </is>
      </c>
      <c r="F37" s="8" t="inlineStr">
        <is>
          <t>كشف الأنماط الإحصائي وتنبؤ بسيط بالاتجاه وتنبيه قبل الخرق (بدون LLM).</t>
        </is>
      </c>
      <c r="G37" s="8" t="inlineStr">
        <is>
          <t>P3</t>
        </is>
      </c>
      <c r="H37" s="8" t="n">
        <v>20</v>
      </c>
      <c r="I37" s="8" t="inlineStr">
        <is>
          <t>GRC-008,GRC-010</t>
        </is>
      </c>
      <c r="J37" s="8" t="inlineStr">
        <is>
          <t>ok</t>
        </is>
      </c>
      <c r="K37" s="8" t="inlineStr">
        <is>
          <t>قائمة أنماط مقترحة تُراجع يدوياً؛ تنبيه استباقي بمنهجية موثقة.</t>
        </is>
      </c>
      <c r="L37" s="8" t="inlineStr">
        <is>
          <t>Shamil (اختياري)</t>
        </is>
      </c>
    </row>
    <row r="38">
      <c r="A38" s="8" t="inlineStr">
        <is>
          <t>GRC-037</t>
        </is>
      </c>
      <c r="B38" s="8" t="inlineStr">
        <is>
          <t>R4</t>
        </is>
      </c>
      <c r="C38" s="8" t="inlineStr">
        <is>
          <t>متقدم</t>
        </is>
      </c>
      <c r="D38" s="8" t="inlineStr">
        <is>
          <t>مساعد ذكاء اصطناعي (اختياري)</t>
        </is>
      </c>
      <c r="E38" s="8" t="inlineStr">
        <is>
          <t>AI assistant (optional)</t>
        </is>
      </c>
      <c r="F38" s="8" t="inlineStr">
        <is>
          <t>أسئلة طبيعية على البيانات، واقتراح مخاطر/ضوابط. يتطلب بنية خاصة وسياسة خصوصية بيانات.</t>
        </is>
      </c>
      <c r="G38" s="8" t="inlineStr">
        <is>
          <t>P3</t>
        </is>
      </c>
      <c r="H38" s="8" t="n">
        <v>40</v>
      </c>
      <c r="I38" s="8" t="inlineStr">
        <is>
          <t>GRC-031</t>
        </is>
      </c>
      <c r="J38" s="8" t="inlineStr">
        <is>
          <t>infra</t>
        </is>
      </c>
      <c r="K38" s="8" t="inlineStr">
        <is>
          <t>يُنفَّذ فقط بعد موافقة أمن المعلومات وبيئة محلية.</t>
        </is>
      </c>
      <c r="L38" s="8" t="inlineStr">
        <is>
          <t>Shamil (اختياري)</t>
        </is>
      </c>
    </row>
    <row r="39">
      <c r="A39" s="8" t="inlineStr">
        <is>
          <t>GRC-038</t>
        </is>
      </c>
      <c r="B39" s="8" t="inlineStr">
        <is>
          <t>R4</t>
        </is>
      </c>
      <c r="C39" s="8" t="inlineStr">
        <is>
          <t>متقدم</t>
        </is>
      </c>
      <c r="D39" s="8" t="inlineStr">
        <is>
          <t>رأس المال التشغيلي وبيانات الخسائر التاريخية (إن لزم)</t>
        </is>
      </c>
      <c r="E39" s="8" t="inlineStr">
        <is>
          <t>Operational-risk capital data (if required)</t>
        </is>
      </c>
      <c r="F39" s="8" t="inlineStr">
        <is>
          <t>تجميع مؤشر الأعمال وسجل خسائر 10 سنوات وفق عتبات إن طلبها المصرف المركزي.</t>
        </is>
      </c>
      <c r="G39" s="8" t="inlineStr">
        <is>
          <t>P3</t>
        </is>
      </c>
      <c r="H39" s="8" t="n">
        <v>20</v>
      </c>
      <c r="I39" s="8" t="inlineStr">
        <is>
          <t>GRC-009</t>
        </is>
      </c>
      <c r="J39" s="8" t="inlineStr">
        <is>
          <t>ok</t>
        </is>
      </c>
      <c r="K39" s="8" t="inlineStr">
        <is>
          <t>يُبنى فقط عند ثبوت المتطلب الرقابي.</t>
        </is>
      </c>
      <c r="L39" s="8" t="inlineStr">
        <is>
          <t>Basel III SMA (للتحقق)</t>
        </is>
      </c>
    </row>
    <row r="40">
      <c r="A40" s="8" t="inlineStr">
        <is>
          <t>GRC-039</t>
        </is>
      </c>
      <c r="B40" s="8" t="inlineStr">
        <is>
          <t>NF</t>
        </is>
      </c>
      <c r="C40" s="8" t="inlineStr">
        <is>
          <t>البنية</t>
        </is>
      </c>
      <c r="D40" s="8" t="inlineStr">
        <is>
          <t>بنية إنتاج للمصرف: خادم خاص/محلي، HA/DR، نسخ احتياطي مؤتمت</t>
        </is>
      </c>
      <c r="E40" s="8" t="inlineStr">
        <is>
          <t>Production hosting, HA/DR, automated backup</t>
        </is>
      </c>
      <c r="F40" s="8" t="inlineStr">
        <is>
          <t>الاستضافة المشتركة مناسبة للتجربة؛ للإنتاج المصرفي تُقيَّم بيئة يتحكم بها المصرف، مع نسخ احتياطي واسترداد مجرّب (RTO/RPO).</t>
        </is>
      </c>
      <c r="G40" s="8" t="inlineStr">
        <is>
          <t>P0</t>
        </is>
      </c>
      <c r="H40" s="8" t="n">
        <v>15</v>
      </c>
      <c r="I40" s="8" t="inlineStr">
        <is>
          <t>-</t>
        </is>
      </c>
      <c r="J40" s="8" t="inlineStr">
        <is>
          <t>infra</t>
        </is>
      </c>
      <c r="K40" s="8" t="inlineStr">
        <is>
          <t>وثيقة قرار بنية معتمدة من أمن المعلومات + تمرين استرداد ناجح.</t>
        </is>
      </c>
      <c r="L40" s="8" t="inlineStr">
        <is>
          <t>سياسات المصرف</t>
        </is>
      </c>
    </row>
    <row r="41">
      <c r="A41" s="8" t="inlineStr">
        <is>
          <t>GRC-040</t>
        </is>
      </c>
      <c r="B41" s="8" t="inlineStr">
        <is>
          <t>NF</t>
        </is>
      </c>
      <c r="C41" s="8" t="inlineStr">
        <is>
          <t>الأمن</t>
        </is>
      </c>
      <c r="D41" s="8" t="inlineStr">
        <is>
          <t>اختبار اختراق وتقييم ثغرات مستقل</t>
        </is>
      </c>
      <c r="E41" s="8" t="inlineStr">
        <is>
          <t>Independent penetration test</t>
        </is>
      </c>
      <c r="F41" s="8" t="inlineStr">
        <is>
          <t>اختبار خارجي قبل الإنتاج وإصلاح الملاحظات.</t>
        </is>
      </c>
      <c r="G41" s="8" t="inlineStr">
        <is>
          <t>P0</t>
        </is>
      </c>
      <c r="H41" s="8" t="n">
        <v>10</v>
      </c>
      <c r="I41" s="8" t="inlineStr">
        <is>
          <t>-</t>
        </is>
      </c>
      <c r="J41" s="8" t="inlineStr">
        <is>
          <t>ok</t>
        </is>
      </c>
      <c r="K41" s="8" t="inlineStr">
        <is>
          <t>تقرير بلا ملاحظات حرجة/عالية مفتوحة.</t>
        </is>
      </c>
      <c r="L41" s="8" t="inlineStr">
        <is>
          <t>ممارسة أمنية</t>
        </is>
      </c>
    </row>
    <row r="42">
      <c r="A42" s="8" t="inlineStr">
        <is>
          <t>GRC-041</t>
        </is>
      </c>
      <c r="B42" s="8" t="inlineStr">
        <is>
          <t>NF</t>
        </is>
      </c>
      <c r="C42" s="8" t="inlineStr">
        <is>
          <t>الأمن</t>
        </is>
      </c>
      <c r="D42" s="8" t="inlineStr">
        <is>
          <t>حماية سجل التدقيق من التعديل (سلسلة تجزئة) وسياسة الاحتفاظ</t>
        </is>
      </c>
      <c r="E42" s="8" t="inlineStr">
        <is>
          <t>Tamper-evident audit log and retention</t>
        </is>
      </c>
      <c r="F42" s="8" t="inlineStr">
        <is>
          <t>ربط كل سجل بتجزئة السابق، وسياسة احتفاظ وأرشفة.</t>
        </is>
      </c>
      <c r="G42" s="8" t="inlineStr">
        <is>
          <t>P2</t>
        </is>
      </c>
      <c r="H42" s="8" t="n">
        <v>8</v>
      </c>
      <c r="I42" s="8" t="inlineStr">
        <is>
          <t>-</t>
        </is>
      </c>
      <c r="J42" s="8" t="inlineStr">
        <is>
          <t>ok</t>
        </is>
      </c>
      <c r="K42" s="8" t="inlineStr">
        <is>
          <t>كشف أي تعديل في السجل بفحص دوري.</t>
        </is>
      </c>
      <c r="L42" s="8" t="inlineStr">
        <is>
          <t>ممارسة تدقيق</t>
        </is>
      </c>
    </row>
    <row r="43">
      <c r="A43" s="8" t="inlineStr">
        <is>
          <t>GRC-042</t>
        </is>
      </c>
      <c r="B43" s="8" t="inlineStr">
        <is>
          <t>NF</t>
        </is>
      </c>
      <c r="C43" s="8" t="inlineStr">
        <is>
          <t>الجودة</t>
        </is>
      </c>
      <c r="D43" s="8" t="inlineStr">
        <is>
          <t>اختبارات آلية لكل وحدة جديدة ومراجعة إمكانية الوصول</t>
        </is>
      </c>
      <c r="E43" s="8" t="inlineStr">
        <is>
          <t>Automated tests and accessibility review</t>
        </is>
      </c>
      <c r="F43" s="8" t="inlineStr">
        <is>
          <t>توسيع الاختبارات الحالية (609) لكل وحدة؛ مراجعة WCAG وقارئات الشاشة.</t>
        </is>
      </c>
      <c r="G43" s="8" t="inlineStr">
        <is>
          <t>P1</t>
        </is>
      </c>
      <c r="H43" s="8" t="n">
        <v>15</v>
      </c>
      <c r="I43" s="8" t="inlineStr">
        <is>
          <t>-</t>
        </is>
      </c>
      <c r="J43" s="8" t="inlineStr">
        <is>
          <t>ok</t>
        </is>
      </c>
      <c r="K43" s="8" t="inlineStr">
        <is>
          <t>تغطية اختبارية لكل ميزة؛ تقرير وصول.</t>
        </is>
      </c>
      <c r="L43" s="8" t="inlineStr">
        <is>
          <t>جودة</t>
        </is>
      </c>
    </row>
    <row r="44">
      <c r="A44" s="8" t="inlineStr">
        <is>
          <t>GRC-043</t>
        </is>
      </c>
      <c r="B44" s="8" t="inlineStr">
        <is>
          <t>NF</t>
        </is>
      </c>
      <c r="C44" s="8" t="inlineStr">
        <is>
          <t>التوطين</t>
        </is>
      </c>
      <c r="D44" s="8" t="inlineStr">
        <is>
          <t>مراجعة لغوية متخصصة للواجهة العربية</t>
        </is>
      </c>
      <c r="E44" s="8" t="inlineStr">
        <is>
          <t>Arabic wording review</t>
        </is>
      </c>
      <c r="F44" s="8" t="inlineStr">
        <is>
          <t>مراجعة المصطلحات المصرفية/الشرعية من متخصص قبل الإنتاج.</t>
        </is>
      </c>
      <c r="G44" s="8" t="inlineStr">
        <is>
          <t>P1</t>
        </is>
      </c>
      <c r="H44" s="8" t="n">
        <v>5</v>
      </c>
      <c r="I44" s="8" t="inlineStr">
        <is>
          <t>-</t>
        </is>
      </c>
      <c r="J44" s="8" t="inlineStr">
        <is>
          <t>ok</t>
        </is>
      </c>
      <c r="K44" s="8" t="inlineStr">
        <is>
          <t>قاموس مصطلحات معتمد ومطبّق.</t>
        </is>
      </c>
      <c r="L44" s="8" t="inlineStr">
        <is>
          <t>جودة</t>
        </is>
      </c>
    </row>
  </sheetData>
  <autoFilter ref="A1:L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40" customWidth="1" min="3" max="3"/>
    <col width="9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10" customWidth="1" min="10" max="10"/>
    <col width="12" customWidth="1" min="11" max="11"/>
    <col width="16" customWidth="1" min="12" max="12"/>
    <col width="50" customWidth="1" min="13" max="13"/>
  </cols>
  <sheetData>
    <row r="1">
      <c r="A1" s="7" t="inlineStr">
        <is>
          <t>المحور</t>
        </is>
      </c>
      <c r="B1" s="7" t="inlineStr">
        <is>
          <t>القدرة</t>
        </is>
      </c>
      <c r="C1" s="7" t="inlineStr">
        <is>
          <t>Capability</t>
        </is>
      </c>
      <c r="D1" s="7" t="inlineStr">
        <is>
          <t>منصتنا</t>
        </is>
      </c>
      <c r="E1" s="7" t="inlineStr">
        <is>
          <t>FOCUS GRC</t>
        </is>
      </c>
      <c r="F1" s="7" t="inlineStr">
        <is>
          <t>Rabbit-Hole</t>
        </is>
      </c>
      <c r="G1" s="7" t="inlineStr">
        <is>
          <t>SHIRA</t>
        </is>
      </c>
      <c r="H1" s="7" t="inlineStr">
        <is>
          <t>Shamil</t>
        </is>
      </c>
      <c r="I1" s="7" t="inlineStr">
        <is>
          <t>OneSumX</t>
        </is>
      </c>
      <c r="J1" s="7" t="inlineStr">
        <is>
          <t>Ocean/ITS</t>
        </is>
      </c>
      <c r="K1" s="7" t="inlineStr">
        <is>
          <t>عدد العروض التي تغطي بالكامل</t>
        </is>
      </c>
      <c r="L1" s="7" t="inlineStr">
        <is>
          <t>الفجوة؟</t>
        </is>
      </c>
      <c r="M1" s="7" t="inlineStr">
        <is>
          <t>ملاحظات</t>
        </is>
      </c>
    </row>
    <row r="2">
      <c r="A2" s="8" t="inlineStr">
        <is>
          <t>الأساس: المخاطر التشغيلية</t>
        </is>
      </c>
      <c r="B2" s="8" t="inlineStr">
        <is>
          <t>سجل المخاطر (أسباب، عواقب، مالك، تواريخ)</t>
        </is>
      </c>
      <c r="C2" s="8" t="inlineStr">
        <is>
          <t>Risk register</t>
        </is>
      </c>
      <c r="D2" s="9" t="n">
        <v>2</v>
      </c>
      <c r="E2" s="9" t="n">
        <v>2</v>
      </c>
      <c r="F2" s="9" t="n">
        <v>2</v>
      </c>
      <c r="G2" s="9" t="n">
        <v>2</v>
      </c>
      <c r="H2" s="9" t="n">
        <v>2</v>
      </c>
      <c r="I2" s="9" t="n">
        <v>2</v>
      </c>
      <c r="J2" s="9" t="n">
        <v>0</v>
      </c>
      <c r="K2" s="9">
        <f>COUNTIF(E2:J2,2)</f>
        <v/>
      </c>
      <c r="L2" s="8">
        <f>IF(D2=2,"لا",IF(K2&gt;=1,"نعم","نعم (ريادة محتملة)"))</f>
        <v/>
      </c>
      <c r="M2" s="8" t="inlineStr"/>
    </row>
    <row r="3">
      <c r="A3" s="8" t="inlineStr">
        <is>
          <t>الأساس: المخاطر التشغيلية</t>
        </is>
      </c>
      <c r="B3" s="8" t="inlineStr">
        <is>
          <t>مصفوفة تقييم قابلة للتهيئة (أصلي/متبقٍ)</t>
        </is>
      </c>
      <c r="C3" s="8" t="inlineStr">
        <is>
          <t>Configurable inherent/residual matrix</t>
        </is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1</v>
      </c>
      <c r="K3" s="9">
        <f>COUNTIF(E3:J3,2)</f>
        <v/>
      </c>
      <c r="L3" s="8">
        <f>IF(D3=2,"لا",IF(K3&gt;=1,"نعم","نعم (ريادة محتملة)"))</f>
        <v/>
      </c>
      <c r="M3" s="8" t="inlineStr">
        <is>
          <t>لدينا: 5×5 قابلة للتهيئة مع حدود مالية وفئات</t>
        </is>
      </c>
    </row>
    <row r="4">
      <c r="A4" s="8" t="inlineStr">
        <is>
          <t>الأساس: المخاطر التشغيلية</t>
        </is>
      </c>
      <c r="B4" s="8" t="inlineStr">
        <is>
          <t>مكتبة ضوابط مركزية وربط خطر↔ضابط (متعدد لمتعدد)</t>
        </is>
      </c>
      <c r="C4" s="8" t="inlineStr">
        <is>
          <t>Central control library, many-to-many risk-control mapping</t>
        </is>
      </c>
      <c r="D4" s="9" t="n">
        <v>1</v>
      </c>
      <c r="E4" s="9" t="n">
        <v>2</v>
      </c>
      <c r="F4" s="9" t="n">
        <v>1</v>
      </c>
      <c r="G4" s="9" t="n">
        <v>2</v>
      </c>
      <c r="H4" s="9" t="n">
        <v>2</v>
      </c>
      <c r="I4" s="9" t="n">
        <v>2</v>
      </c>
      <c r="J4" s="9" t="n">
        <v>0</v>
      </c>
      <c r="K4" s="9">
        <f>COUNTIF(E4:J4,2)</f>
        <v/>
      </c>
      <c r="L4" s="8">
        <f>IF(D4=2,"لا",IF(K4&gt;=1,"نعم","نعم (ريادة محتملة)"))</f>
        <v/>
      </c>
      <c r="M4" s="8" t="inlineStr">
        <is>
          <t>لدينا: وصف ضوابط نصي ومالك وتقييم يدوي لكل خطر فقط</t>
        </is>
      </c>
    </row>
    <row r="5">
      <c r="A5" s="8" t="inlineStr">
        <is>
          <t>الأساس: المخاطر التشغيلية</t>
        </is>
      </c>
      <c r="B5" s="8" t="inlineStr">
        <is>
          <t>تصنيف الضوابط (وقائي/كشفي/تصحيحي، رئيسي/ثانوي، آلي/يدوي، دوري)</t>
        </is>
      </c>
      <c r="C5" s="8" t="inlineStr">
        <is>
          <t>Control classification</t>
        </is>
      </c>
      <c r="D5" s="9" t="n">
        <v>0</v>
      </c>
      <c r="E5" s="9" t="n">
        <v>0</v>
      </c>
      <c r="F5" s="9" t="n">
        <v>1</v>
      </c>
      <c r="G5" s="9" t="n">
        <v>2</v>
      </c>
      <c r="H5" s="9" t="n">
        <v>2</v>
      </c>
      <c r="I5" s="9" t="n">
        <v>2</v>
      </c>
      <c r="J5" s="9" t="n">
        <v>0</v>
      </c>
      <c r="K5" s="9">
        <f>COUNTIF(E5:J5,2)</f>
        <v/>
      </c>
      <c r="L5" s="8">
        <f>IF(D5=2,"لا",IF(K5&gt;=1,"نعم","نعم (ريادة محتملة)"))</f>
        <v/>
      </c>
      <c r="M5" s="8" t="inlineStr"/>
    </row>
    <row r="6">
      <c r="A6" s="8" t="inlineStr">
        <is>
          <t>الأساس: المخاطر التشغيلية</t>
        </is>
      </c>
      <c r="B6" s="8" t="inlineStr">
        <is>
          <t>اختبار الضوابط (تصميم/تشغيل، قوائم تحقق، عينات، جدولة، أدلة)</t>
        </is>
      </c>
      <c r="C6" s="8" t="inlineStr">
        <is>
          <t>Control testing (design/operating, checklists, sampling, scheduling)</t>
        </is>
      </c>
      <c r="D6" s="9" t="n">
        <v>0</v>
      </c>
      <c r="E6" s="9" t="n">
        <v>2</v>
      </c>
      <c r="F6" s="9" t="n">
        <v>1</v>
      </c>
      <c r="G6" s="9" t="n">
        <v>2</v>
      </c>
      <c r="H6" s="9" t="n">
        <v>2</v>
      </c>
      <c r="I6" s="9" t="n">
        <v>2</v>
      </c>
      <c r="J6" s="9" t="n">
        <v>0</v>
      </c>
      <c r="K6" s="9">
        <f>COUNTIF(E6:J6,2)</f>
        <v/>
      </c>
      <c r="L6" s="8">
        <f>IF(D6=2,"لا",IF(K6&gt;=1,"نعم","نعم (ريادة محتملة)"))</f>
        <v/>
      </c>
      <c r="M6" s="8" t="inlineStr">
        <is>
          <t>أكبر فجوة وظيفية لدينا مقابل جميع العروض</t>
        </is>
      </c>
    </row>
    <row r="7">
      <c r="A7" s="8" t="inlineStr">
        <is>
          <t>الأساس: المخاطر التشغيلية</t>
        </is>
      </c>
      <c r="B7" s="8" t="inlineStr">
        <is>
          <t>حساب الخطر المتبقي المستند إلى نتائج اختبار الضوابط</t>
        </is>
      </c>
      <c r="C7" s="8" t="inlineStr">
        <is>
          <t>Residual risk informed by control-test results</t>
        </is>
      </c>
      <c r="D7" s="9" t="n">
        <v>0</v>
      </c>
      <c r="E7" s="9" t="n">
        <v>1</v>
      </c>
      <c r="F7" s="9" t="n">
        <v>1</v>
      </c>
      <c r="G7" s="9" t="n">
        <v>2</v>
      </c>
      <c r="H7" s="9" t="n">
        <v>2</v>
      </c>
      <c r="I7" s="9" t="n">
        <v>2</v>
      </c>
      <c r="J7" s="9" t="n">
        <v>0</v>
      </c>
      <c r="K7" s="9">
        <f>COUNTIF(E7:J7,2)</f>
        <v/>
      </c>
      <c r="L7" s="8">
        <f>IF(D7=2,"لا",IF(K7&gt;=1,"نعم","نعم (ريادة محتملة)"))</f>
        <v/>
      </c>
      <c r="M7" s="8" t="inlineStr">
        <is>
          <t>قرار تصميم: لدينا المتبقي صريح بلا خصم تلقائي؛ المقترح: قيمة مقترحة بجانب التقييم الصريح</t>
        </is>
      </c>
    </row>
    <row r="8">
      <c r="A8" s="8" t="inlineStr">
        <is>
          <t>الأساس: المخاطر التشغيلية</t>
        </is>
      </c>
      <c r="B8" s="8" t="inlineStr">
        <is>
          <t>RCSA: استبيانات ومراجعة واعتماد</t>
        </is>
      </c>
      <c r="C8" s="8" t="inlineStr">
        <is>
          <t>RCSA questionnaires and review workflow</t>
        </is>
      </c>
      <c r="D8" s="9" t="n">
        <v>2</v>
      </c>
      <c r="E8" s="9" t="n">
        <v>2</v>
      </c>
      <c r="F8" s="9" t="n">
        <v>2</v>
      </c>
      <c r="G8" s="9" t="n">
        <v>2</v>
      </c>
      <c r="H8" s="9" t="n">
        <v>2</v>
      </c>
      <c r="I8" s="9" t="n">
        <v>2</v>
      </c>
      <c r="J8" s="9" t="n">
        <v>1</v>
      </c>
      <c r="K8" s="9">
        <f>COUNTIF(E8:J8,2)</f>
        <v/>
      </c>
      <c r="L8" s="8">
        <f>IF(D8=2,"لا",IF(K8&gt;=1,"نعم","نعم (ريادة محتملة)"))</f>
        <v/>
      </c>
      <c r="M8" s="8" t="inlineStr"/>
    </row>
    <row r="9">
      <c r="A9" s="8" t="inlineStr">
        <is>
          <t>الأساس: المخاطر التشغيلية</t>
        </is>
      </c>
      <c r="B9" s="8" t="inlineStr">
        <is>
          <t>جدولة دورات RCSA وإعادة التقييم المحفّز بالأحداث</t>
        </is>
      </c>
      <c r="C9" s="8" t="inlineStr">
        <is>
          <t>Scheduled RCSA cycles, event-triggered reassessment</t>
        </is>
      </c>
      <c r="D9" s="9" t="n">
        <v>0</v>
      </c>
      <c r="E9" s="9" t="n">
        <v>1</v>
      </c>
      <c r="F9" s="9" t="n">
        <v>2</v>
      </c>
      <c r="G9" s="9" t="n">
        <v>2</v>
      </c>
      <c r="H9" s="9" t="n">
        <v>2</v>
      </c>
      <c r="I9" s="9" t="n">
        <v>1</v>
      </c>
      <c r="J9" s="9" t="n">
        <v>0</v>
      </c>
      <c r="K9" s="9">
        <f>COUNTIF(E9:J9,2)</f>
        <v/>
      </c>
      <c r="L9" s="8">
        <f>IF(D9=2,"لا",IF(K9&gt;=1,"نعم","نعم (ريادة محتملة)"))</f>
        <v/>
      </c>
      <c r="M9" s="8" t="inlineStr"/>
    </row>
    <row r="10">
      <c r="A10" s="8" t="inlineStr">
        <is>
          <t>الأساس: المخاطر التشغيلية</t>
        </is>
      </c>
      <c r="B10" s="8" t="inlineStr">
        <is>
          <t>خطط المعالجة (مسؤول، موعد، حالة)</t>
        </is>
      </c>
      <c r="C10" s="8" t="inlineStr">
        <is>
          <t>Treatment/action plans</t>
        </is>
      </c>
      <c r="D10" s="9" t="n">
        <v>2</v>
      </c>
      <c r="E10" s="9" t="n">
        <v>2</v>
      </c>
      <c r="F10" s="9" t="n">
        <v>2</v>
      </c>
      <c r="G10" s="9" t="n">
        <v>2</v>
      </c>
      <c r="H10" s="9" t="n">
        <v>2</v>
      </c>
      <c r="I10" s="9" t="n">
        <v>2</v>
      </c>
      <c r="J10" s="9" t="n">
        <v>2</v>
      </c>
      <c r="K10" s="9">
        <f>COUNTIF(E10:J10,2)</f>
        <v/>
      </c>
      <c r="L10" s="8">
        <f>IF(D10=2,"لا",IF(K10&gt;=1,"نعم","نعم (ريادة محتملة)"))</f>
        <v/>
      </c>
      <c r="M10" s="8" t="inlineStr"/>
    </row>
    <row r="11">
      <c r="A11" s="8" t="inlineStr">
        <is>
          <t>الأساس: المخاطر التشغيلية</t>
        </is>
      </c>
      <c r="B11" s="8" t="inlineStr">
        <is>
          <t>قبول الخطر بصلاحيات مرتبطة بالقابلية للمخاطر</t>
        </is>
      </c>
      <c r="C11" s="8" t="inlineStr">
        <is>
          <t>Risk acceptance with authority levels</t>
        </is>
      </c>
      <c r="D11" s="9" t="n">
        <v>1</v>
      </c>
      <c r="E11" s="9" t="n">
        <v>1</v>
      </c>
      <c r="F11" s="9" t="n">
        <v>1</v>
      </c>
      <c r="G11" s="9" t="n">
        <v>2</v>
      </c>
      <c r="H11" s="9" t="n">
        <v>2</v>
      </c>
      <c r="I11" s="9" t="n">
        <v>1</v>
      </c>
      <c r="J11" s="9" t="n">
        <v>1</v>
      </c>
      <c r="K11" s="9">
        <f>COUNTIF(E11:J11,2)</f>
        <v/>
      </c>
      <c r="L11" s="8">
        <f>IF(D11=2,"لا",IF(K11&gt;=1,"نعم","نعم (ريادة محتملة)"))</f>
        <v/>
      </c>
      <c r="M11" s="8" t="inlineStr">
        <is>
          <t>لدينا: قبول تجاوز بملاحظة إلزامية بلا مصفوفة صلاحيات</t>
        </is>
      </c>
    </row>
    <row r="12">
      <c r="A12" s="8" t="inlineStr">
        <is>
          <t>الأساس: المخاطر التشغيلية</t>
        </is>
      </c>
      <c r="B12" s="8" t="inlineStr">
        <is>
          <t>بيانات قابلية تحمل المخاطر ومتابعة التجاوزات</t>
        </is>
      </c>
      <c r="C12" s="8" t="inlineStr">
        <is>
          <t>Risk appetite statements and breach tracking</t>
        </is>
      </c>
      <c r="D12" s="9" t="n">
        <v>2</v>
      </c>
      <c r="E12" s="9" t="n">
        <v>1</v>
      </c>
      <c r="F12" s="9" t="n">
        <v>2</v>
      </c>
      <c r="G12" s="9" t="n">
        <v>2</v>
      </c>
      <c r="H12" s="9" t="n">
        <v>2</v>
      </c>
      <c r="I12" s="9" t="n">
        <v>1</v>
      </c>
      <c r="J12" s="9" t="n">
        <v>1</v>
      </c>
      <c r="K12" s="9">
        <f>COUNTIF(E12:J12,2)</f>
        <v/>
      </c>
      <c r="L12" s="8">
        <f>IF(D12=2,"لا",IF(K12&gt;=1,"نعم","نعم (ريادة محتملة)"))</f>
        <v/>
      </c>
      <c r="M12" s="8" t="inlineStr"/>
    </row>
    <row r="13">
      <c r="A13" s="8" t="inlineStr">
        <is>
          <t>الأحداث والخسائر</t>
        </is>
      </c>
      <c r="B13" s="8" t="inlineStr">
        <is>
          <t>تسجيل الحوادث وشبه الحوادث (إجمالي/مستردات/صافي)</t>
        </is>
      </c>
      <c r="C13" s="8" t="inlineStr">
        <is>
          <t>Loss events and near misses</t>
        </is>
      </c>
      <c r="D13" s="9" t="n">
        <v>2</v>
      </c>
      <c r="E13" s="9" t="n">
        <v>2</v>
      </c>
      <c r="F13" s="9" t="n">
        <v>2</v>
      </c>
      <c r="G13" s="9" t="n">
        <v>2</v>
      </c>
      <c r="H13" s="9" t="n">
        <v>2</v>
      </c>
      <c r="I13" s="9" t="n">
        <v>2</v>
      </c>
      <c r="J13" s="9" t="n">
        <v>1</v>
      </c>
      <c r="K13" s="9">
        <f>COUNTIF(E13:J13,2)</f>
        <v/>
      </c>
      <c r="L13" s="8">
        <f>IF(D13=2,"لا",IF(K13&gt;=1,"نعم","نعم (ريادة محتملة)"))</f>
        <v/>
      </c>
      <c r="M13" s="8" t="inlineStr"/>
    </row>
    <row r="14">
      <c r="A14" s="8" t="inlineStr">
        <is>
          <t>الأحداث والخسائر</t>
        </is>
      </c>
      <c r="B14" s="8" t="inlineStr">
        <is>
          <t>تصنيف أحداث Basel وخطوط الأعمال</t>
        </is>
      </c>
      <c r="C14" s="8" t="inlineStr">
        <is>
          <t>Basel event-type and business-line taxonomy</t>
        </is>
      </c>
      <c r="D14" s="9" t="n">
        <v>0</v>
      </c>
      <c r="E14" s="9" t="n">
        <v>1</v>
      </c>
      <c r="F14" s="9" t="n">
        <v>1</v>
      </c>
      <c r="G14" s="9" t="n">
        <v>1</v>
      </c>
      <c r="H14" s="9" t="n">
        <v>2</v>
      </c>
      <c r="I14" s="9" t="n">
        <v>2</v>
      </c>
      <c r="J14" s="9" t="n">
        <v>0</v>
      </c>
      <c r="K14" s="9">
        <f>COUNTIF(E14:J14,2)</f>
        <v/>
      </c>
      <c r="L14" s="8">
        <f>IF(D14=2,"لا",IF(K14&gt;=1,"نعم","نعم (ريادة محتملة)"))</f>
        <v/>
      </c>
      <c r="M14" s="8" t="inlineStr"/>
    </row>
    <row r="15">
      <c r="A15" s="8" t="inlineStr">
        <is>
          <t>الأحداث والخسائر</t>
        </is>
      </c>
      <c r="B15" s="8" t="inlineStr">
        <is>
          <t>المستردات حسب المصدر، الأثر غير المالي، التسوية مع الأستاذ العام، عتبات التصعيد</t>
        </is>
      </c>
      <c r="C15" s="8" t="inlineStr">
        <is>
          <t>Recovery by source, non-financial impact, GL reconciliation, escalation thresholds</t>
        </is>
      </c>
      <c r="D15" s="9" t="n">
        <v>0</v>
      </c>
      <c r="E15" s="9" t="n">
        <v>1</v>
      </c>
      <c r="F15" s="9" t="n">
        <v>1</v>
      </c>
      <c r="G15" s="9" t="n">
        <v>1</v>
      </c>
      <c r="H15" s="9" t="n">
        <v>2</v>
      </c>
      <c r="I15" s="9" t="n">
        <v>2</v>
      </c>
      <c r="J15" s="9" t="n">
        <v>0</v>
      </c>
      <c r="K15" s="9">
        <f>COUNTIF(E15:J15,2)</f>
        <v/>
      </c>
      <c r="L15" s="8">
        <f>IF(D15=2,"لا",IF(K15&gt;=1,"نعم","نعم (ريادة محتملة)"))</f>
        <v/>
      </c>
      <c r="M15" s="8" t="inlineStr"/>
    </row>
    <row r="16">
      <c r="A16" s="8" t="inlineStr">
        <is>
          <t>الأحداث والخسائر</t>
        </is>
      </c>
      <c r="B16" s="8" t="inlineStr">
        <is>
          <t>ربط الحدث بإعادة تقييم الخطر وكشف التكرار/الأنماط</t>
        </is>
      </c>
      <c r="C16" s="8" t="inlineStr">
        <is>
          <t>Incident-to-risk reassessment, recurrence detection</t>
        </is>
      </c>
      <c r="D16" s="9" t="n">
        <v>1</v>
      </c>
      <c r="E16" s="9" t="n">
        <v>2</v>
      </c>
      <c r="F16" s="9" t="n">
        <v>1</v>
      </c>
      <c r="G16" s="9" t="n">
        <v>2</v>
      </c>
      <c r="H16" s="9" t="n">
        <v>2</v>
      </c>
      <c r="I16" s="9" t="n">
        <v>2</v>
      </c>
      <c r="J16" s="9" t="n">
        <v>0</v>
      </c>
      <c r="K16" s="9">
        <f>COUNTIF(E16:J16,2)</f>
        <v/>
      </c>
      <c r="L16" s="8">
        <f>IF(D16=2,"لا",IF(K16&gt;=1,"نعم","نعم (ريادة محتملة)"))</f>
        <v/>
      </c>
      <c r="M16" s="8" t="inlineStr">
        <is>
          <t>لدينا: ربط حدث↔خطر فقط</t>
        </is>
      </c>
    </row>
    <row r="17">
      <c r="A17" s="8" t="inlineStr">
        <is>
          <t>مؤشرات المخاطر</t>
        </is>
      </c>
      <c r="B17" s="8" t="inlineStr">
        <is>
          <t>KRIs: حدود، دورية، تنبيهات على الشاشة</t>
        </is>
      </c>
      <c r="C17" s="8" t="inlineStr">
        <is>
          <t>KRIs with thresholds and frequency</t>
        </is>
      </c>
      <c r="D17" s="9" t="n">
        <v>2</v>
      </c>
      <c r="E17" s="9" t="n">
        <v>2</v>
      </c>
      <c r="F17" s="9" t="n">
        <v>2</v>
      </c>
      <c r="G17" s="9" t="n">
        <v>2</v>
      </c>
      <c r="H17" s="9" t="n">
        <v>2</v>
      </c>
      <c r="I17" s="9" t="n">
        <v>2</v>
      </c>
      <c r="J17" s="9" t="n">
        <v>1</v>
      </c>
      <c r="K17" s="9">
        <f>COUNTIF(E17:J17,2)</f>
        <v/>
      </c>
      <c r="L17" s="8">
        <f>IF(D17=2,"لا",IF(K17&gt;=1,"نعم","نعم (ريادة محتملة)"))</f>
        <v/>
      </c>
      <c r="M17" s="8" t="inlineStr"/>
    </row>
    <row r="18">
      <c r="A18" s="8" t="inlineStr">
        <is>
          <t>مؤشرات المخاطر</t>
        </is>
      </c>
      <c r="B18" s="8" t="inlineStr">
        <is>
          <t>KRIs متقدمة: 4 مستويات، تغذية آلية، بوابة جودة بيانات، مؤشرات مركبة، سجل خرق</t>
        </is>
      </c>
      <c r="C18" s="8" t="inlineStr">
        <is>
          <t>Advanced KRIs: multi-band, feeds, data-quality gate, composite, breach record</t>
        </is>
      </c>
      <c r="D18" s="9" t="n">
        <v>0</v>
      </c>
      <c r="E18" s="9" t="n">
        <v>1</v>
      </c>
      <c r="F18" s="9" t="n">
        <v>1</v>
      </c>
      <c r="G18" s="9" t="n">
        <v>1</v>
      </c>
      <c r="H18" s="9" t="n">
        <v>2</v>
      </c>
      <c r="I18" s="9" t="n">
        <v>1</v>
      </c>
      <c r="J18" s="9" t="n">
        <v>0</v>
      </c>
      <c r="K18" s="9">
        <f>COUNTIF(E18:J18,2)</f>
        <v/>
      </c>
      <c r="L18" s="8">
        <f>IF(D18=2,"لا",IF(K18&gt;=1,"نعم","نعم (ريادة محتملة)"))</f>
        <v/>
      </c>
      <c r="M18" s="8" t="inlineStr"/>
    </row>
    <row r="19">
      <c r="A19" s="8" t="inlineStr">
        <is>
          <t>الاستمرارية والمرونة</t>
        </is>
      </c>
      <c r="B19" s="8" t="inlineStr">
        <is>
          <t>تحليل الأثر على الأعمال وأهداف التعافي (RTO/RPO/MTPD)</t>
        </is>
      </c>
      <c r="C19" s="8" t="inlineStr">
        <is>
          <t>BIA and recovery objectives</t>
        </is>
      </c>
      <c r="D19" s="9" t="n">
        <v>0</v>
      </c>
      <c r="E19" s="9" t="n">
        <v>2</v>
      </c>
      <c r="F19" s="9" t="n">
        <v>1</v>
      </c>
      <c r="G19" s="9" t="n">
        <v>2</v>
      </c>
      <c r="H19" s="9" t="n">
        <v>2</v>
      </c>
      <c r="I19" s="9" t="n">
        <v>0</v>
      </c>
      <c r="J19" s="9" t="n">
        <v>2</v>
      </c>
      <c r="K19" s="9">
        <f>COUNTIF(E19:J19,2)</f>
        <v/>
      </c>
      <c r="L19" s="8">
        <f>IF(D19=2,"لا",IF(K19&gt;=1,"نعم","نعم (ريادة محتملة)"))</f>
        <v/>
      </c>
      <c r="M19" s="8" t="inlineStr">
        <is>
          <t>مقترح Rabbit-Hole يذكر أن وحدة BCM قيد البناء (ص16)</t>
        </is>
      </c>
    </row>
    <row r="20">
      <c r="A20" s="8" t="inlineStr">
        <is>
          <t>الاستمرارية والمرونة</t>
        </is>
      </c>
      <c r="B20" s="8" t="inlineStr">
        <is>
          <t>خطط الاستمرارية، الاختبارات والتمارين، سجل الأزمة، شجرة الاتصال، الإشعار الطارئ</t>
        </is>
      </c>
      <c r="C20" s="8" t="inlineStr">
        <is>
          <t>BCP, testing, crisis log, call tree, emergency notification</t>
        </is>
      </c>
      <c r="D20" s="9" t="n">
        <v>0</v>
      </c>
      <c r="E20" s="9" t="n">
        <v>2</v>
      </c>
      <c r="F20" s="9" t="n">
        <v>1</v>
      </c>
      <c r="G20" s="9" t="n">
        <v>1</v>
      </c>
      <c r="H20" s="9" t="n">
        <v>2</v>
      </c>
      <c r="I20" s="9" t="n">
        <v>0</v>
      </c>
      <c r="J20" s="9" t="n">
        <v>2</v>
      </c>
      <c r="K20" s="9">
        <f>COUNTIF(E20:J20,2)</f>
        <v/>
      </c>
      <c r="L20" s="8">
        <f>IF(D20=2,"لا",IF(K20&gt;=1,"نعم","نعم (ريادة محتملة)"))</f>
        <v/>
      </c>
      <c r="M20" s="8" t="inlineStr"/>
    </row>
    <row r="21">
      <c r="A21" s="8" t="inlineStr">
        <is>
          <t>الامتثال والحوكمة</t>
        </is>
      </c>
      <c r="B21" s="8" t="inlineStr">
        <is>
          <t>سجل التعليمات والتعاميم الرقابية وتوزيعها والمراسلات</t>
        </is>
      </c>
      <c r="C21" s="8" t="inlineStr">
        <is>
          <t>Regulatory instruction/circular register, distribution, correspondence</t>
        </is>
      </c>
      <c r="D21" s="9" t="n">
        <v>1</v>
      </c>
      <c r="E21" s="9" t="n">
        <v>2</v>
      </c>
      <c r="F21" s="9" t="n">
        <v>2</v>
      </c>
      <c r="G21" s="9" t="n">
        <v>2</v>
      </c>
      <c r="H21" s="9" t="n">
        <v>0</v>
      </c>
      <c r="I21" s="9" t="n">
        <v>1</v>
      </c>
      <c r="J21" s="9" t="n">
        <v>1</v>
      </c>
      <c r="K21" s="9">
        <f>COUNTIF(E21:J21,2)</f>
        <v/>
      </c>
      <c r="L21" s="8">
        <f>IF(D21=2,"لا",IF(K21&gt;=1,"نعم","نعم (ريادة محتملة)"))</f>
        <v/>
      </c>
      <c r="M21" s="8" t="inlineStr">
        <is>
          <t>لدينا: سجل التزامات بمسؤول وموعد وأدلة، دون سجل تعاميم</t>
        </is>
      </c>
    </row>
    <row r="22">
      <c r="A22" s="8" t="inlineStr">
        <is>
          <t>الامتثال والحوكمة</t>
        </is>
      </c>
      <c r="B22" s="8" t="inlineStr">
        <is>
          <t>فحوصات الامتثال الدورية ومؤشرات الامتثال</t>
        </is>
      </c>
      <c r="C22" s="8" t="inlineStr">
        <is>
          <t>Periodic compliance tests and compliance KPIs</t>
        </is>
      </c>
      <c r="D22" s="9" t="n">
        <v>0</v>
      </c>
      <c r="E22" s="9" t="n">
        <v>2</v>
      </c>
      <c r="F22" s="9" t="n">
        <v>2</v>
      </c>
      <c r="G22" s="9" t="n">
        <v>2</v>
      </c>
      <c r="H22" s="9" t="n">
        <v>0</v>
      </c>
      <c r="I22" s="9" t="n">
        <v>1</v>
      </c>
      <c r="J22" s="9" t="n">
        <v>1</v>
      </c>
      <c r="K22" s="9">
        <f>COUNTIF(E22:J22,2)</f>
        <v/>
      </c>
      <c r="L22" s="8">
        <f>IF(D22=2,"لا",IF(K22&gt;=1,"نعم","نعم (ريادة محتملة)"))</f>
        <v/>
      </c>
      <c r="M22" s="8" t="inlineStr"/>
    </row>
    <row r="23">
      <c r="A23" s="8" t="inlineStr">
        <is>
          <t>الامتثال والحوكمة</t>
        </is>
      </c>
      <c r="B23" s="8" t="inlineStr">
        <is>
          <t>دورة حياة الوثائق والسياسات (اعتماد، إقرار الاطلاع)</t>
        </is>
      </c>
      <c r="C23" s="8" t="inlineStr">
        <is>
          <t>Policy lifecycle with approval and attestation</t>
        </is>
      </c>
      <c r="D23" s="9" t="n">
        <v>1</v>
      </c>
      <c r="E23" s="9" t="n">
        <v>2</v>
      </c>
      <c r="F23" s="9" t="n">
        <v>2</v>
      </c>
      <c r="G23" s="9" t="n">
        <v>2</v>
      </c>
      <c r="H23" s="9" t="n">
        <v>0</v>
      </c>
      <c r="I23" s="9" t="n">
        <v>0</v>
      </c>
      <c r="J23" s="9" t="n">
        <v>1</v>
      </c>
      <c r="K23" s="9">
        <f>COUNTIF(E23:J23,2)</f>
        <v/>
      </c>
      <c r="L23" s="8">
        <f>IF(D23=2,"لا",IF(K23&gt;=1,"نعم","نعم (ريادة محتملة)"))</f>
        <v/>
      </c>
      <c r="M23" s="8" t="inlineStr">
        <is>
          <t>لدينا: إصدارات غير قابلة للتعديل دون مسار اعتماد</t>
        </is>
      </c>
    </row>
    <row r="24">
      <c r="A24" s="8" t="inlineStr">
        <is>
          <t>الامتثال والحوكمة</t>
        </is>
      </c>
      <c r="B24" s="8" t="inlineStr">
        <is>
          <t>حوكمة المجلس واللجان: التشكيل، الاجتماعات، المحاضر، الحضور، التقييم، فحص الالتزام بتعليمات المصرف المركزي</t>
        </is>
      </c>
      <c r="C24" s="8" t="inlineStr">
        <is>
          <t>Board/committee governance incl. meetings, minutes, attendance, evaluation</t>
        </is>
      </c>
      <c r="D24" s="9" t="n">
        <v>1</v>
      </c>
      <c r="E24" s="9" t="n">
        <v>2</v>
      </c>
      <c r="F24" s="9" t="n">
        <v>0</v>
      </c>
      <c r="G24" s="9" t="n">
        <v>2</v>
      </c>
      <c r="H24" s="9" t="n">
        <v>0</v>
      </c>
      <c r="I24" s="9" t="n">
        <v>1</v>
      </c>
      <c r="J24" s="9" t="n">
        <v>1</v>
      </c>
      <c r="K24" s="9">
        <f>COUNTIF(E24:J24,2)</f>
        <v/>
      </c>
      <c r="L24" s="8">
        <f>IF(D24=2,"لا",IF(K24&gt;=1,"نعم","نعم (ريادة محتملة)"))</f>
        <v/>
      </c>
      <c r="M24" s="8" t="inlineStr">
        <is>
          <t>لدينا: قرارات اللجان ومتابعتها فقط</t>
        </is>
      </c>
    </row>
    <row r="25">
      <c r="A25" s="8" t="inlineStr">
        <is>
          <t>الامتثال والحوكمة</t>
        </is>
      </c>
      <c r="B25" s="8" t="inlineStr">
        <is>
          <t>الأهداف الاستراتيجية وبطاقات الأداء المتوازن ومؤشرات الأداء</t>
        </is>
      </c>
      <c r="C25" s="8" t="inlineStr">
        <is>
          <t>Strategic objectives, balanced scorecard, KPIs</t>
        </is>
      </c>
      <c r="D25" s="9" t="n">
        <v>0</v>
      </c>
      <c r="E25" s="9" t="n">
        <v>0</v>
      </c>
      <c r="F25" s="9" t="n">
        <v>0</v>
      </c>
      <c r="G25" s="9" t="n">
        <v>2</v>
      </c>
      <c r="H25" s="9" t="n">
        <v>0</v>
      </c>
      <c r="I25" s="9" t="n">
        <v>0</v>
      </c>
      <c r="J25" s="9" t="n">
        <v>0</v>
      </c>
      <c r="K25" s="9">
        <f>COUNTIF(E25:J25,2)</f>
        <v/>
      </c>
      <c r="L25" s="8">
        <f>IF(D25=2,"لا",IF(K25&gt;=1,"نعم","نعم (ريادة محتملة)"))</f>
        <v/>
      </c>
      <c r="M25" s="8" t="inlineStr"/>
    </row>
    <row r="26">
      <c r="A26" s="8" t="inlineStr">
        <is>
          <t>الامتثال والحوكمة</t>
        </is>
      </c>
      <c r="B26" s="8" t="inlineStr">
        <is>
          <t>هيكل تنظيمي متعدد المستويات وخطوط الدفاع الثلاثة</t>
        </is>
      </c>
      <c r="C26" s="8" t="inlineStr">
        <is>
          <t>Multi-level org hierarchy, three lines of defence</t>
        </is>
      </c>
      <c r="D26" s="9" t="n">
        <v>1</v>
      </c>
      <c r="E26" s="9" t="n">
        <v>2</v>
      </c>
      <c r="F26" s="9" t="n">
        <v>1</v>
      </c>
      <c r="G26" s="9" t="n">
        <v>2</v>
      </c>
      <c r="H26" s="9" t="n">
        <v>2</v>
      </c>
      <c r="I26" s="9" t="n">
        <v>2</v>
      </c>
      <c r="J26" s="9" t="n">
        <v>1</v>
      </c>
      <c r="K26" s="9">
        <f>COUNTIF(E26:J26,2)</f>
        <v/>
      </c>
      <c r="L26" s="8">
        <f>IF(D26=2,"لا",IF(K26&gt;=1,"نعم","نعم (ريادة محتملة)"))</f>
        <v/>
      </c>
      <c r="M26" s="8" t="inlineStr">
        <is>
          <t>لدينا: إدارات وفروع بمستوى واحد</t>
        </is>
      </c>
    </row>
    <row r="27">
      <c r="A27" s="8" t="inlineStr">
        <is>
          <t>الامتثال والحوكمة</t>
        </is>
      </c>
      <c r="B27" s="8" t="inlineStr">
        <is>
          <t>مكتبة العمليات والمنتجات والخدمات والأصول وربطها بالمخاطر</t>
        </is>
      </c>
      <c r="C27" s="8" t="inlineStr">
        <is>
          <t>Process/product/service/asset libraries linked to risks</t>
        </is>
      </c>
      <c r="D27" s="9" t="n">
        <v>0</v>
      </c>
      <c r="E27" s="9" t="n">
        <v>1</v>
      </c>
      <c r="F27" s="9" t="n">
        <v>1</v>
      </c>
      <c r="G27" s="9" t="n">
        <v>2</v>
      </c>
      <c r="H27" s="9" t="n">
        <v>2</v>
      </c>
      <c r="I27" s="9" t="n">
        <v>2</v>
      </c>
      <c r="J27" s="9" t="n">
        <v>2</v>
      </c>
      <c r="K27" s="9">
        <f>COUNTIF(E27:J27,2)</f>
        <v/>
      </c>
      <c r="L27" s="8">
        <f>IF(D27=2,"لا",IF(K27&gt;=1,"نعم","نعم (ريادة محتملة)"))</f>
        <v/>
      </c>
      <c r="M27" s="8" t="inlineStr"/>
    </row>
    <row r="28">
      <c r="A28" s="8" t="inlineStr">
        <is>
          <t>الامتثال والحوكمة</t>
        </is>
      </c>
      <c r="B28" s="8" t="inlineStr">
        <is>
          <t>التدقيق الداخلي المبني على المخاطر</t>
        </is>
      </c>
      <c r="C28" s="8" t="inlineStr">
        <is>
          <t>Risk-based internal audit</t>
        </is>
      </c>
      <c r="D28" s="9" t="n">
        <v>0</v>
      </c>
      <c r="E28" s="9" t="n">
        <v>2</v>
      </c>
      <c r="F28" s="9" t="n">
        <v>1</v>
      </c>
      <c r="G28" s="9" t="n">
        <v>1</v>
      </c>
      <c r="H28" s="9" t="n">
        <v>0</v>
      </c>
      <c r="I28" s="9" t="n">
        <v>0</v>
      </c>
      <c r="J28" s="9" t="n">
        <v>0</v>
      </c>
      <c r="K28" s="9">
        <f>COUNTIF(E28:J28,2)</f>
        <v/>
      </c>
      <c r="L28" s="8">
        <f>IF(D28=2,"لا",IF(K28&gt;=1,"نعم","نعم (ريادة محتملة)"))</f>
        <v/>
      </c>
      <c r="M28" s="8" t="inlineStr">
        <is>
          <t>منتج منفصل لدى بعض الموردين</t>
        </is>
      </c>
    </row>
    <row r="29">
      <c r="A29" s="8" t="inlineStr">
        <is>
          <t>الامتثال والحوكمة</t>
        </is>
      </c>
      <c r="B29" s="8" t="inlineStr">
        <is>
          <t>مخاطر الأطراف الثالثة والتعهيد</t>
        </is>
      </c>
      <c r="C29" s="8" t="inlineStr">
        <is>
          <t>Third-party / outsourcing risk</t>
        </is>
      </c>
      <c r="D29" s="9" t="n">
        <v>0</v>
      </c>
      <c r="E29" s="9" t="n">
        <v>0</v>
      </c>
      <c r="F29" s="9" t="n">
        <v>0</v>
      </c>
      <c r="G29" s="9" t="n">
        <v>1</v>
      </c>
      <c r="H29" s="9" t="n">
        <v>1</v>
      </c>
      <c r="I29" s="9" t="n">
        <v>0</v>
      </c>
      <c r="J29" s="9" t="n">
        <v>2</v>
      </c>
      <c r="K29" s="9">
        <f>COUNTIF(E29:J29,2)</f>
        <v/>
      </c>
      <c r="L29" s="8">
        <f>IF(D29=2,"لا",IF(K29&gt;=1,"نعم","نعم (ريادة محتملة)"))</f>
        <v/>
      </c>
      <c r="M29" s="8" t="inlineStr"/>
    </row>
    <row r="30">
      <c r="A30" s="8" t="inlineStr">
        <is>
          <t>الامتثال والحوكمة</t>
        </is>
      </c>
      <c r="B30" s="8" t="inlineStr">
        <is>
          <t>مخاطر تقنية المعلومات والأمن السيبراني (ISO 27001/27005، تصنيف الأصول)</t>
        </is>
      </c>
      <c r="C30" s="8" t="inlineStr">
        <is>
          <t>IT/cyber risk, ISO 27001 mapping, asset classification</t>
        </is>
      </c>
      <c r="D30" s="9" t="n">
        <v>0</v>
      </c>
      <c r="E30" s="9" t="n">
        <v>1</v>
      </c>
      <c r="F30" s="9" t="n">
        <v>0</v>
      </c>
      <c r="G30" s="9" t="n">
        <v>1</v>
      </c>
      <c r="H30" s="9" t="n">
        <v>0</v>
      </c>
      <c r="I30" s="9" t="n">
        <v>0</v>
      </c>
      <c r="J30" s="9" t="n">
        <v>2</v>
      </c>
      <c r="K30" s="9">
        <f>COUNTIF(E30:J30,2)</f>
        <v/>
      </c>
      <c r="L30" s="8">
        <f>IF(D30=2,"لا",IF(K30&gt;=1,"نعم","نعم (ريادة محتملة)"))</f>
        <v/>
      </c>
      <c r="M30" s="8" t="inlineStr"/>
    </row>
    <row r="31">
      <c r="A31" s="8" t="inlineStr">
        <is>
          <t>الامتثال والحوكمة</t>
        </is>
      </c>
      <c r="B31" s="8" t="inlineStr">
        <is>
          <t>المخاطر البيئية والاجتماعية والحوكمة (ESG)</t>
        </is>
      </c>
      <c r="C31" s="8" t="inlineStr">
        <is>
          <t>ESG risk</t>
        </is>
      </c>
      <c r="D31" s="9" t="n">
        <v>0</v>
      </c>
      <c r="E31" s="9" t="n">
        <v>0</v>
      </c>
      <c r="F31" s="9" t="n">
        <v>0</v>
      </c>
      <c r="G31" s="9" t="n">
        <v>2</v>
      </c>
      <c r="H31" s="9" t="n">
        <v>2</v>
      </c>
      <c r="I31" s="9" t="n">
        <v>0</v>
      </c>
      <c r="J31" s="9" t="n">
        <v>0</v>
      </c>
      <c r="K31" s="9">
        <f>COUNTIF(E31:J31,2)</f>
        <v/>
      </c>
      <c r="L31" s="8">
        <f>IF(D31=2,"لا",IF(K31&gt;=1,"نعم","نعم (ريادة محتملة)"))</f>
        <v/>
      </c>
      <c r="M31" s="8" t="inlineStr"/>
    </row>
    <row r="32">
      <c r="A32" s="8" t="inlineStr">
        <is>
          <t>الامتثال والحوكمة</t>
        </is>
      </c>
      <c r="B32" s="8" t="inlineStr">
        <is>
          <t>اختبارات الضغط وكفاية رأس المال (ICAAP)</t>
        </is>
      </c>
      <c r="C32" s="8" t="inlineStr">
        <is>
          <t>Stress testing / ICAAP</t>
        </is>
      </c>
      <c r="D32" s="9" t="n">
        <v>0</v>
      </c>
      <c r="E32" s="9" t="n">
        <v>0</v>
      </c>
      <c r="F32" s="9" t="n">
        <v>0</v>
      </c>
      <c r="G32" s="9" t="n">
        <v>1</v>
      </c>
      <c r="H32" s="9" t="n">
        <v>0</v>
      </c>
      <c r="I32" s="9" t="n">
        <v>0</v>
      </c>
      <c r="J32" s="9" t="n">
        <v>0</v>
      </c>
      <c r="K32" s="9">
        <f>COUNTIF(E32:J32,2)</f>
        <v/>
      </c>
      <c r="L32" s="8">
        <f>IF(D32=2,"لا",IF(K32&gt;=1,"نعم","نعم (ريادة محتملة)"))</f>
        <v/>
      </c>
      <c r="M32" s="8" t="inlineStr">
        <is>
          <t>اختياري لدى SHIRA</t>
        </is>
      </c>
    </row>
    <row r="33">
      <c r="A33" s="8" t="inlineStr">
        <is>
          <t>الصيرفة الإسلامية</t>
        </is>
      </c>
      <c r="B33" s="8" t="inlineStr">
        <is>
          <t>فئات مخاطر إسلامية قابلة للتهيئة</t>
        </is>
      </c>
      <c r="C33" s="8" t="inlineStr">
        <is>
          <t>Configurable Islamic risk categories</t>
        </is>
      </c>
      <c r="D33" s="9" t="n">
        <v>2</v>
      </c>
      <c r="E33" s="9" t="n">
        <v>0</v>
      </c>
      <c r="F33" s="9" t="n">
        <v>0</v>
      </c>
      <c r="G33" s="9" t="n">
        <v>1</v>
      </c>
      <c r="H33" s="9" t="n">
        <v>0</v>
      </c>
      <c r="I33" s="9" t="n">
        <v>0</v>
      </c>
      <c r="J33" s="9" t="n">
        <v>0</v>
      </c>
      <c r="K33" s="9">
        <f>COUNTIF(E33:J33,2)</f>
        <v/>
      </c>
      <c r="L33" s="8">
        <f>IF(D33=2,"لا",IF(K33&gt;=1,"نعم","نعم (ريادة محتملة)"))</f>
        <v/>
      </c>
      <c r="M33" s="8" t="inlineStr">
        <is>
          <t>لم يصف أي عرض سير عمل شرعياً مخصصاً؛ SHIRA يذكر الانسجام مع AAOIFI</t>
        </is>
      </c>
    </row>
    <row r="34">
      <c r="A34" s="8" t="inlineStr">
        <is>
          <t>الصيرفة الإسلامية</t>
        </is>
      </c>
      <c r="B34" s="8" t="inlineStr">
        <is>
          <t>وحدة امتثال شرعي (سجل قرارات/فتاوى، مراجعة شرعية، أحداث عدم التزام، تطهير الدخل المحرّم)</t>
        </is>
      </c>
      <c r="C34" s="8" t="inlineStr">
        <is>
          <t>Sharia compliance workflow (rulings register, review, non-compliance events, purification)</t>
        </is>
      </c>
      <c r="D34" s="9" t="n">
        <v>1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>
        <f>COUNTIF(E34:J34,2)</f>
        <v/>
      </c>
      <c r="L34" s="8">
        <f>IF(D34=2,"لا",IF(K34&gt;=1,"نعم","نعم (ريادة محتملة)"))</f>
        <v/>
      </c>
      <c r="M34" s="8" t="inlineStr">
        <is>
          <t>لدينا: فئات + لجنة هيئة رقابة شرعية ضمن قرارات اللجان. فرصة تميّز: لا يغطيها أي عرض</t>
        </is>
      </c>
    </row>
    <row r="35">
      <c r="A35" s="8" t="inlineStr">
        <is>
          <t>المنصة والأمن</t>
        </is>
      </c>
      <c r="B35" s="8" t="inlineStr">
        <is>
          <t>واجهة عربية/إنجليزية RTL/LTR</t>
        </is>
      </c>
      <c r="C35" s="8" t="inlineStr">
        <is>
          <t>Bilingual RTL/LTR UI</t>
        </is>
      </c>
      <c r="D35" s="9" t="n">
        <v>2</v>
      </c>
      <c r="E35" s="9" t="n">
        <v>2</v>
      </c>
      <c r="F35" s="9" t="n">
        <v>2</v>
      </c>
      <c r="G35" s="9" t="n">
        <v>2</v>
      </c>
      <c r="H35" s="9" t="n">
        <v>1</v>
      </c>
      <c r="I35" s="9" t="n">
        <v>1</v>
      </c>
      <c r="J35" s="9" t="n">
        <v>0</v>
      </c>
      <c r="K35" s="9">
        <f>COUNTIF(E35:J35,2)</f>
        <v/>
      </c>
      <c r="L35" s="8">
        <f>IF(D35=2,"لا",IF(K35&gt;=1,"نعم","نعم (ريادة محتملة)"))</f>
        <v/>
      </c>
      <c r="M35" s="8" t="inlineStr">
        <is>
          <t>تقييم اللجنة لـShamil "محدود" بينما عرضه الفني يذكر واجهة ثنائية اللغة</t>
        </is>
      </c>
    </row>
    <row r="36">
      <c r="A36" s="8" t="inlineStr">
        <is>
          <t>المنصة والأمن</t>
        </is>
      </c>
      <c r="B36" s="8" t="inlineStr">
        <is>
          <t>التقويم الهجري</t>
        </is>
      </c>
      <c r="C36" s="8" t="inlineStr">
        <is>
          <t>Hijri calendar</t>
        </is>
      </c>
      <c r="D36" s="9" t="n">
        <v>0</v>
      </c>
      <c r="E36" s="9" t="n">
        <v>0</v>
      </c>
      <c r="F36" s="9" t="n">
        <v>2</v>
      </c>
      <c r="G36" s="9" t="n">
        <v>0</v>
      </c>
      <c r="H36" s="9" t="n">
        <v>0</v>
      </c>
      <c r="I36" s="9" t="n">
        <v>0</v>
      </c>
      <c r="J36" s="9" t="n">
        <v>0</v>
      </c>
      <c r="K36" s="9">
        <f>COUNTIF(E36:J36,2)</f>
        <v/>
      </c>
      <c r="L36" s="8">
        <f>IF(D36=2,"لا",IF(K36&gt;=1,"نعم","نعم (ريادة محتملة)"))</f>
        <v/>
      </c>
      <c r="M36" s="8" t="inlineStr"/>
    </row>
    <row r="37">
      <c r="A37" s="8" t="inlineStr">
        <is>
          <t>المنصة والأمن</t>
        </is>
      </c>
      <c r="B37" s="8" t="inlineStr">
        <is>
          <t>الرقابة الثنائية (Maker/Checker) على السجلات</t>
        </is>
      </c>
      <c r="C37" s="8" t="inlineStr">
        <is>
          <t>Maker-checker on records</t>
        </is>
      </c>
      <c r="D37" s="9" t="n">
        <v>1</v>
      </c>
      <c r="E37" s="9" t="n">
        <v>2</v>
      </c>
      <c r="F37" s="9" t="n">
        <v>2</v>
      </c>
      <c r="G37" s="9" t="n">
        <v>1</v>
      </c>
      <c r="H37" s="9" t="n">
        <v>2</v>
      </c>
      <c r="I37" s="9" t="n">
        <v>2</v>
      </c>
      <c r="J37" s="9" t="n">
        <v>0</v>
      </c>
      <c r="K37" s="9">
        <f>COUNTIF(E37:J37,2)</f>
        <v/>
      </c>
      <c r="L37" s="8">
        <f>IF(D37=2,"لا",IF(K37&gt;=1,"نعم","نعم (ريادة محتملة)"))</f>
        <v/>
      </c>
      <c r="M37" s="8" t="inlineStr">
        <is>
          <t>لدينا: مراجعة RCSA ومنع المراجعة الذاتية فقط</t>
        </is>
      </c>
    </row>
    <row r="38">
      <c r="A38" s="8" t="inlineStr">
        <is>
          <t>المنصة والأمن</t>
        </is>
      </c>
      <c r="B38" s="8" t="inlineStr">
        <is>
          <t>محرك سير عمل قابل للتهيئة وفصل المهام</t>
        </is>
      </c>
      <c r="C38" s="8" t="inlineStr">
        <is>
          <t>Configurable workflow engine / SoD</t>
        </is>
      </c>
      <c r="D38" s="9" t="n">
        <v>0</v>
      </c>
      <c r="E38" s="9" t="n">
        <v>2</v>
      </c>
      <c r="F38" s="9" t="n">
        <v>2</v>
      </c>
      <c r="G38" s="9" t="n">
        <v>1</v>
      </c>
      <c r="H38" s="9" t="n">
        <v>2</v>
      </c>
      <c r="I38" s="9" t="n">
        <v>2</v>
      </c>
      <c r="J38" s="9" t="n">
        <v>0</v>
      </c>
      <c r="K38" s="9">
        <f>COUNTIF(E38:J38,2)</f>
        <v/>
      </c>
      <c r="L38" s="8">
        <f>IF(D38=2,"لا",IF(K38&gt;=1,"نعم","نعم (ريادة محتملة)"))</f>
        <v/>
      </c>
      <c r="M38" s="8" t="inlineStr"/>
    </row>
    <row r="39">
      <c r="A39" s="8" t="inlineStr">
        <is>
          <t>المنصة والأمن</t>
        </is>
      </c>
      <c r="B39" s="8" t="inlineStr">
        <is>
          <t>تنبيهات بريد/رسائل نصية وتصعيد تلقائي</t>
        </is>
      </c>
      <c r="C39" s="8" t="inlineStr">
        <is>
          <t>Email/SMS alerts and auto-escalation</t>
        </is>
      </c>
      <c r="D39" s="9" t="n">
        <v>0</v>
      </c>
      <c r="E39" s="9" t="n">
        <v>2</v>
      </c>
      <c r="F39" s="9" t="n">
        <v>2</v>
      </c>
      <c r="G39" s="9" t="n">
        <v>2</v>
      </c>
      <c r="H39" s="9" t="n">
        <v>2</v>
      </c>
      <c r="I39" s="9" t="n">
        <v>1</v>
      </c>
      <c r="J39" s="9" t="n">
        <v>0</v>
      </c>
      <c r="K39" s="9">
        <f>COUNTIF(E39:J39,2)</f>
        <v/>
      </c>
      <c r="L39" s="8">
        <f>IF(D39=2,"لا",IF(K39&gt;=1,"نعم","نعم (ريادة محتملة)"))</f>
        <v/>
      </c>
      <c r="M39" s="8" t="inlineStr">
        <is>
          <t>لدينا: لا بريد إلكتروني إطلاقاً</t>
        </is>
      </c>
    </row>
    <row r="40">
      <c r="A40" s="8" t="inlineStr">
        <is>
          <t>المنصة والأمن</t>
        </is>
      </c>
      <c r="B40" s="8" t="inlineStr">
        <is>
          <t>إدارة المهام والتقويم وصفحة «مهامي»</t>
        </is>
      </c>
      <c r="C40" s="8" t="inlineStr">
        <is>
          <t>Task management, calendar, "my tasks"</t>
        </is>
      </c>
      <c r="D40" s="9" t="n">
        <v>0</v>
      </c>
      <c r="E40" s="9" t="n">
        <v>1</v>
      </c>
      <c r="F40" s="9" t="n">
        <v>1</v>
      </c>
      <c r="G40" s="9" t="n">
        <v>2</v>
      </c>
      <c r="H40" s="9" t="n">
        <v>1</v>
      </c>
      <c r="I40" s="9" t="n">
        <v>1</v>
      </c>
      <c r="J40" s="9" t="n">
        <v>0</v>
      </c>
      <c r="K40" s="9">
        <f>COUNTIF(E40:J40,2)</f>
        <v/>
      </c>
      <c r="L40" s="8">
        <f>IF(D40=2,"لا",IF(K40&gt;=1,"نعم","نعم (ريادة محتملة)"))</f>
        <v/>
      </c>
      <c r="M40" s="8" t="inlineStr"/>
    </row>
    <row r="41">
      <c r="A41" s="8" t="inlineStr">
        <is>
          <t>المنصة والأمن</t>
        </is>
      </c>
      <c r="B41" s="8" t="inlineStr">
        <is>
          <t>لوحات وتقارير: مصمم تقارير، جدولة، تصدير PDF/Excel</t>
        </is>
      </c>
      <c r="C41" s="8" t="inlineStr">
        <is>
          <t>Dashboards, report designer, scheduling, PDF/Excel export</t>
        </is>
      </c>
      <c r="D41" s="9" t="n">
        <v>1</v>
      </c>
      <c r="E41" s="9" t="n">
        <v>2</v>
      </c>
      <c r="F41" s="9" t="n">
        <v>2</v>
      </c>
      <c r="G41" s="9" t="n">
        <v>2</v>
      </c>
      <c r="H41" s="9" t="n">
        <v>2</v>
      </c>
      <c r="I41" s="9" t="n">
        <v>2</v>
      </c>
      <c r="J41" s="9" t="n">
        <v>1</v>
      </c>
      <c r="K41" s="9">
        <f>COUNTIF(E41:J41,2)</f>
        <v/>
      </c>
      <c r="L41" s="8">
        <f>IF(D41=2,"لا",IF(K41&gt;=1,"نعم","نعم (ريادة محتملة)"))</f>
        <v/>
      </c>
      <c r="M41" s="8" t="inlineStr">
        <is>
          <t>لدينا: لوحات ثابتة + CSV + طباعة</t>
        </is>
      </c>
    </row>
    <row r="42">
      <c r="A42" s="8" t="inlineStr">
        <is>
          <t>المنصة والأمن</t>
        </is>
      </c>
      <c r="B42" s="8" t="inlineStr">
        <is>
          <t>الدخول الموحد/Active Directory/LDAP وMFA</t>
        </is>
      </c>
      <c r="C42" s="8" t="inlineStr">
        <is>
          <t>SSO / AD / LDAP / MFA</t>
        </is>
      </c>
      <c r="D42" s="9" t="n">
        <v>0</v>
      </c>
      <c r="E42" s="9" t="n">
        <v>2</v>
      </c>
      <c r="F42" s="9" t="n">
        <v>2</v>
      </c>
      <c r="G42" s="9" t="n">
        <v>1</v>
      </c>
      <c r="H42" s="9" t="n">
        <v>2</v>
      </c>
      <c r="I42" s="9" t="n">
        <v>1</v>
      </c>
      <c r="J42" s="9" t="n">
        <v>0</v>
      </c>
      <c r="K42" s="9">
        <f>COUNTIF(E42:J42,2)</f>
        <v/>
      </c>
      <c r="L42" s="8">
        <f>IF(D42=2,"لا",IF(K42&gt;=1,"نعم","نعم (ريادة محتملة)"))</f>
        <v/>
      </c>
      <c r="M42" s="8" t="inlineStr"/>
    </row>
    <row r="43">
      <c r="A43" s="8" t="inlineStr">
        <is>
          <t>المنصة والأمن</t>
        </is>
      </c>
      <c r="B43" s="8" t="inlineStr">
        <is>
          <t>صلاحيات حسب الدور ونطاق (إدارة/فرع) وسجل تدقيق</t>
        </is>
      </c>
      <c r="C43" s="8" t="inlineStr">
        <is>
          <t>RBAC with data scope and audit trail</t>
        </is>
      </c>
      <c r="D43" s="9" t="n">
        <v>2</v>
      </c>
      <c r="E43" s="9" t="n">
        <v>2</v>
      </c>
      <c r="F43" s="9" t="n">
        <v>2</v>
      </c>
      <c r="G43" s="9" t="n">
        <v>2</v>
      </c>
      <c r="H43" s="9" t="n">
        <v>2</v>
      </c>
      <c r="I43" s="9" t="n">
        <v>2</v>
      </c>
      <c r="J43" s="9" t="n">
        <v>1</v>
      </c>
      <c r="K43" s="9">
        <f>COUNTIF(E43:J43,2)</f>
        <v/>
      </c>
      <c r="L43" s="8">
        <f>IF(D43=2,"لا",IF(K43&gt;=1,"نعم","نعم (ريادة محتملة)"))</f>
        <v/>
      </c>
      <c r="M43" s="8" t="inlineStr"/>
    </row>
    <row r="44">
      <c r="A44" s="8" t="inlineStr">
        <is>
          <t>المنصة والأمن</t>
        </is>
      </c>
      <c r="B44" s="8" t="inlineStr">
        <is>
          <t>واجهات API وربط مع النظام المصرفي</t>
        </is>
      </c>
      <c r="C44" s="8" t="inlineStr">
        <is>
          <t>APIs / core banking integration</t>
        </is>
      </c>
      <c r="D44" s="9" t="n">
        <v>0</v>
      </c>
      <c r="E44" s="9" t="n">
        <v>2</v>
      </c>
      <c r="F44" s="9" t="n">
        <v>2</v>
      </c>
      <c r="G44" s="9" t="n">
        <v>1</v>
      </c>
      <c r="H44" s="9" t="n">
        <v>2</v>
      </c>
      <c r="I44" s="9" t="n">
        <v>1</v>
      </c>
      <c r="J44" s="9" t="n">
        <v>1</v>
      </c>
      <c r="K44" s="9">
        <f>COUNTIF(E44:J44,2)</f>
        <v/>
      </c>
      <c r="L44" s="8">
        <f>IF(D44=2,"لا",IF(K44&gt;=1,"نعم","نعم (ريادة محتملة)"))</f>
        <v/>
      </c>
      <c r="M44" s="8" t="inlineStr"/>
    </row>
    <row r="45">
      <c r="A45" s="8" t="inlineStr">
        <is>
          <t>المنصة والأمن</t>
        </is>
      </c>
      <c r="B45" s="8" t="inlineStr">
        <is>
          <t>توفر عالٍ (HA) واسترداد الكوارث</t>
        </is>
      </c>
      <c r="C45" s="8" t="inlineStr">
        <is>
          <t>HA / DR architecture</t>
        </is>
      </c>
      <c r="D45" s="9" t="n">
        <v>0</v>
      </c>
      <c r="E45" s="9" t="n">
        <v>1</v>
      </c>
      <c r="F45" s="9" t="n">
        <v>2</v>
      </c>
      <c r="G45" s="9" t="n">
        <v>1</v>
      </c>
      <c r="H45" s="9" t="n">
        <v>2</v>
      </c>
      <c r="I45" s="9" t="n">
        <v>1</v>
      </c>
      <c r="J45" s="9" t="n">
        <v>0</v>
      </c>
      <c r="K45" s="9">
        <f>COUNTIF(E45:J45,2)</f>
        <v/>
      </c>
      <c r="L45" s="8">
        <f>IF(D45=2,"لا",IF(K45&gt;=1,"نعم","نعم (ريادة محتملة)"))</f>
        <v/>
      </c>
      <c r="M45" s="8" t="inlineStr">
        <is>
          <t>استضافة مشتركة لا تدعم HA/DR</t>
        </is>
      </c>
    </row>
    <row r="46">
      <c r="A46" s="8" t="inlineStr">
        <is>
          <t>المنصة والأمن</t>
        </is>
      </c>
      <c r="B46" s="8" t="inlineStr">
        <is>
          <t>ذكاء اصطناعي وتحليلات متقدمة</t>
        </is>
      </c>
      <c r="C46" s="8" t="inlineStr">
        <is>
          <t>AI / advanced analytics</t>
        </is>
      </c>
      <c r="D46" s="9" t="n">
        <v>0</v>
      </c>
      <c r="E46" s="9" t="n">
        <v>0</v>
      </c>
      <c r="F46" s="9" t="n">
        <v>0</v>
      </c>
      <c r="G46" s="9" t="n">
        <v>1</v>
      </c>
      <c r="H46" s="9" t="n">
        <v>2</v>
      </c>
      <c r="I46" s="9" t="n">
        <v>0</v>
      </c>
      <c r="J46" s="9" t="n">
        <v>1</v>
      </c>
      <c r="K46" s="9">
        <f>COUNTIF(E46:J46,2)</f>
        <v/>
      </c>
      <c r="L46" s="8">
        <f>IF(D46=2,"لا",IF(K46&gt;=1,"نعم","نعم (ريادة محتملة)"))</f>
        <v/>
      </c>
      <c r="M46" s="8" t="inlineStr">
        <is>
          <t>اختياري ويحتاج بنية خاصة</t>
        </is>
      </c>
    </row>
    <row r="47">
      <c r="A47" s="8" t="inlineStr">
        <is>
          <t>المنصة والأمن</t>
        </is>
      </c>
      <c r="B47" s="8" t="inlineStr">
        <is>
          <t>محتوى تنظيمي ليبي جاهز</t>
        </is>
      </c>
      <c r="C47" s="8" t="inlineStr">
        <is>
          <t>Local (Libyan) regulatory content</t>
        </is>
      </c>
      <c r="D47" s="9" t="n">
        <v>0</v>
      </c>
      <c r="E47" s="9" t="n">
        <v>1</v>
      </c>
      <c r="F47" s="9" t="n">
        <v>2</v>
      </c>
      <c r="G47" s="9" t="n">
        <v>2</v>
      </c>
      <c r="H47" s="9" t="n">
        <v>1</v>
      </c>
      <c r="I47" s="9" t="n">
        <v>0</v>
      </c>
      <c r="J47" s="9" t="n">
        <v>1</v>
      </c>
      <c r="K47" s="9">
        <f>COUNTIF(E47:J47,2)</f>
        <v/>
      </c>
      <c r="L47" s="8">
        <f>IF(D47=2,"لا",IF(K47&gt;=1,"نعم","نعم (ريادة محتملة)"))</f>
        <v/>
      </c>
      <c r="M47" s="8" t="inlineStr">
        <is>
          <t>Rabbit-Hole يذكر أنظمة ليبيا ضمن الترخيص</t>
        </is>
      </c>
    </row>
    <row r="49">
      <c r="A49" s="2" t="inlineStr">
        <is>
          <t>المفتاح: 2 = مغطى بوضوح / منفّذ، 1 = جزئي أو غير واضح، 0 = غير مذكور / غير منفّذ. تقييم العروض «كما ورد في العروض» دون تحقق مستقل؛ تقييم منصتنا ذاتي.</t>
        </is>
      </c>
    </row>
  </sheetData>
  <autoFilter ref="A1:M47"/>
  <conditionalFormatting sqref="D2:J47">
    <cfRule type="cellIs" priority="1" operator="equal" dxfId="0">
      <formula>2</formula>
    </cfRule>
    <cfRule type="cellIs" priority="2" operator="equal" dxfId="1">
      <formula>1</formula>
    </cfRule>
    <cfRule type="cellIs" priority="3" operator="equal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14" customWidth="1" min="4" max="4"/>
    <col width="60" customWidth="1" min="5" max="5"/>
  </cols>
  <sheetData>
    <row r="1">
      <c r="A1" s="7" t="inlineStr">
        <is>
          <t>#</t>
        </is>
      </c>
      <c r="B1" s="7" t="inlineStr">
        <is>
          <t>الخطوة</t>
        </is>
      </c>
      <c r="C1" s="7" t="inlineStr">
        <is>
          <t>Step</t>
        </is>
      </c>
      <c r="D1" s="7" t="inlineStr">
        <is>
          <t>الحالة (F/P/M)</t>
        </is>
      </c>
      <c r="E1" s="7" t="inlineStr">
        <is>
          <t>ملاحظة</t>
        </is>
      </c>
    </row>
    <row r="2">
      <c r="A2" s="8" t="n">
        <v>1</v>
      </c>
      <c r="B2" s="8" t="inlineStr">
        <is>
          <t>حدث خسارة</t>
        </is>
      </c>
      <c r="C2" s="8" t="inlineStr">
        <is>
          <t>Loss event</t>
        </is>
      </c>
      <c r="D2" s="9" t="inlineStr">
        <is>
          <t>F</t>
        </is>
      </c>
      <c r="E2" s="8" t="inlineStr">
        <is>
          <t>تسجيل كامل بالإجمالي والمستردات والصافي</t>
        </is>
      </c>
    </row>
    <row r="3">
      <c r="A3" s="8" t="n">
        <v>2</v>
      </c>
      <c r="B3" s="8" t="inlineStr">
        <is>
          <t>السبب الجذري</t>
        </is>
      </c>
      <c r="C3" s="8" t="inlineStr">
        <is>
          <t>Root cause</t>
        </is>
      </c>
      <c r="D3" s="9" t="inlineStr">
        <is>
          <t>P</t>
        </is>
      </c>
      <c r="E3" s="8" t="inlineStr">
        <is>
          <t>حقل نصي إلزامي للإغلاق؛ بلا تصنيف أسباب</t>
        </is>
      </c>
    </row>
    <row r="4">
      <c r="A4" s="8" t="n">
        <v>3</v>
      </c>
      <c r="B4" s="8" t="inlineStr">
        <is>
          <t>RCSA</t>
        </is>
      </c>
      <c r="C4" s="8" t="inlineStr">
        <is>
          <t>RCSA</t>
        </is>
      </c>
      <c r="D4" s="9" t="inlineStr">
        <is>
          <t>P</t>
        </is>
      </c>
      <c r="E4" s="8" t="inlineStr">
        <is>
          <t>استبيان ومراجعة؛ بلا جدولة ولا ضوابط داخل التقييم</t>
        </is>
      </c>
    </row>
    <row r="5">
      <c r="A5" s="8" t="n">
        <v>4</v>
      </c>
      <c r="B5" s="8" t="inlineStr">
        <is>
          <t>اختبار الضوابط</t>
        </is>
      </c>
      <c r="C5" s="8" t="inlineStr">
        <is>
          <t>Control test</t>
        </is>
      </c>
      <c r="D5" s="9" t="inlineStr">
        <is>
          <t>M</t>
        </is>
      </c>
      <c r="E5" s="8" t="inlineStr">
        <is>
          <t>غير موجود</t>
        </is>
      </c>
    </row>
    <row r="6">
      <c r="A6" s="8" t="n">
        <v>5</v>
      </c>
      <c r="B6" s="8" t="inlineStr">
        <is>
          <t>الخطر المتبقي</t>
        </is>
      </c>
      <c r="C6" s="8" t="inlineStr">
        <is>
          <t>Residual risk</t>
        </is>
      </c>
      <c r="D6" s="9" t="inlineStr">
        <is>
          <t>F</t>
        </is>
      </c>
      <c r="E6" s="8" t="inlineStr">
        <is>
          <t>صريح مع مبررات وفئات</t>
        </is>
      </c>
    </row>
    <row r="7">
      <c r="A7" s="8" t="n">
        <v>6</v>
      </c>
      <c r="B7" s="8" t="inlineStr">
        <is>
          <t>خطة المعالجة</t>
        </is>
      </c>
      <c r="C7" s="8" t="inlineStr">
        <is>
          <t>Action plan</t>
        </is>
      </c>
      <c r="D7" s="9" t="inlineStr">
        <is>
          <t>F</t>
        </is>
      </c>
      <c r="E7" s="8" t="inlineStr">
        <is>
          <t>مع مسؤول وموعد وحالة وتأخر</t>
        </is>
      </c>
    </row>
    <row r="8">
      <c r="A8" s="8" t="n">
        <v>7</v>
      </c>
      <c r="B8" s="8" t="inlineStr">
        <is>
          <t>خرق KRI</t>
        </is>
      </c>
      <c r="C8" s="8" t="inlineStr">
        <is>
          <t>KRI breach</t>
        </is>
      </c>
      <c r="D8" s="9" t="inlineStr">
        <is>
          <t>P</t>
        </is>
      </c>
      <c r="E8" s="8" t="inlineStr">
        <is>
          <t>حالة وتنبيه على الشاشة؛ بلا سجل خرق ولا بريد</t>
        </is>
      </c>
    </row>
    <row r="9">
      <c r="A9" s="8" t="n">
        <v>8</v>
      </c>
      <c r="B9" s="8" t="inlineStr">
        <is>
          <t>التصعيد</t>
        </is>
      </c>
      <c r="C9" s="8" t="inlineStr">
        <is>
          <t>Escalation</t>
        </is>
      </c>
      <c r="D9" s="9" t="inlineStr">
        <is>
          <t>M</t>
        </is>
      </c>
      <c r="E9" s="8" t="inlineStr">
        <is>
          <t>لا تصعيد آلي</t>
        </is>
      </c>
    </row>
    <row r="10">
      <c r="A10" s="8" t="n">
        <v>9</v>
      </c>
      <c r="B10" s="8" t="inlineStr">
        <is>
          <t>لوحة المجلس</t>
        </is>
      </c>
      <c r="C10" s="8" t="inlineStr">
        <is>
          <t>Board dashboard</t>
        </is>
      </c>
      <c r="D10" s="9" t="inlineStr">
        <is>
          <t>F</t>
        </is>
      </c>
      <c r="E10" s="8" t="inlineStr">
        <is>
          <t>خرائط حرارة ومؤشرات؛ بلا حزمة PDF للمجلس</t>
        </is>
      </c>
    </row>
    <row r="11">
      <c r="A11" s="8" t="n">
        <v>10</v>
      </c>
      <c r="B11" s="8" t="inlineStr">
        <is>
          <t>واجهة عربية</t>
        </is>
      </c>
      <c r="C11" s="8" t="inlineStr">
        <is>
          <t>Arabic UI</t>
        </is>
      </c>
      <c r="D11" s="9" t="inlineStr">
        <is>
          <t>F</t>
        </is>
      </c>
      <c r="E11" s="8" t="inlineStr"/>
    </row>
    <row r="12">
      <c r="A12" s="8" t="n">
        <v>11</v>
      </c>
      <c r="B12" s="8" t="inlineStr">
        <is>
          <t>AD/SSO</t>
        </is>
      </c>
      <c r="C12" s="8" t="inlineStr">
        <is>
          <t>AD/SSO</t>
        </is>
      </c>
      <c r="D12" s="9" t="inlineStr">
        <is>
          <t>M</t>
        </is>
      </c>
      <c r="E12" s="8" t="inlineStr">
        <is>
          <t>غير موجود</t>
        </is>
      </c>
    </row>
    <row r="13">
      <c r="A13" s="8" t="n">
        <v>12</v>
      </c>
      <c r="B13" s="8" t="inlineStr">
        <is>
          <t>Maker/Checker</t>
        </is>
      </c>
      <c r="C13" s="8" t="inlineStr">
        <is>
          <t>Maker/Checker</t>
        </is>
      </c>
      <c r="D13" s="9" t="inlineStr">
        <is>
          <t>P</t>
        </is>
      </c>
      <c r="E13" s="8" t="inlineStr">
        <is>
          <t>RCSA فقط</t>
        </is>
      </c>
    </row>
    <row r="14">
      <c r="A14" s="8" t="n">
        <v>13</v>
      </c>
      <c r="B14" s="8" t="inlineStr">
        <is>
          <t>رفع الأدلة</t>
        </is>
      </c>
      <c r="C14" s="8" t="inlineStr">
        <is>
          <t>Evidence upload</t>
        </is>
      </c>
      <c r="D14" s="9" t="inlineStr">
        <is>
          <t>F</t>
        </is>
      </c>
      <c r="E14" s="8" t="inlineStr">
        <is>
          <t>مع فحص المحتوى وحفظ خارج الجذر العام</t>
        </is>
      </c>
    </row>
    <row r="15">
      <c r="A15" s="8" t="n">
        <v>14</v>
      </c>
      <c r="B15" s="8" t="inlineStr">
        <is>
          <t>سجل التدقيق</t>
        </is>
      </c>
      <c r="C15" s="8" t="inlineStr">
        <is>
          <t>Audit trail</t>
        </is>
      </c>
      <c r="D15" s="9" t="inlineStr">
        <is>
          <t>F</t>
        </is>
      </c>
      <c r="E15" s="8" t="inlineStr"/>
    </row>
    <row r="16">
      <c r="A16" s="8" t="n">
        <v>15</v>
      </c>
      <c r="B16" s="8" t="inlineStr">
        <is>
          <t>استدعاء API</t>
        </is>
      </c>
      <c r="C16" s="8" t="inlineStr">
        <is>
          <t>API call</t>
        </is>
      </c>
      <c r="D16" s="9" t="inlineStr">
        <is>
          <t>M</t>
        </is>
      </c>
      <c r="E16" s="8" t="inlineStr">
        <is>
          <t>غير موجود</t>
        </is>
      </c>
    </row>
    <row r="17">
      <c r="A17" s="8" t="n">
        <v>16</v>
      </c>
      <c r="B17" s="8" t="inlineStr">
        <is>
          <t>تصدير PDF/Excel</t>
        </is>
      </c>
      <c r="C17" s="8" t="inlineStr">
        <is>
          <t>Export PDF/Excel</t>
        </is>
      </c>
      <c r="D17" s="9" t="inlineStr">
        <is>
          <t>P</t>
        </is>
      </c>
      <c r="E17" s="8" t="inlineStr">
        <is>
          <t>CSV وطباعة PDF من المتصفح؛ لا XLSX/PDF أصلي</t>
        </is>
      </c>
    </row>
    <row r="18">
      <c r="A18" s="8" t="n">
        <v>17</v>
      </c>
      <c r="B18" s="8" t="inlineStr">
        <is>
          <t>دور ضابط ارتباط الفرع</t>
        </is>
      </c>
      <c r="C18" s="8" t="inlineStr">
        <is>
          <t>Branch Risk Liaison role</t>
        </is>
      </c>
      <c r="D18" s="9" t="inlineStr">
        <is>
          <t>F</t>
        </is>
      </c>
      <c r="E18" s="8" t="inlineStr">
        <is>
          <t>مع تقييد البيانات بالفرع</t>
        </is>
      </c>
    </row>
    <row r="20">
      <c r="B20" s="5" t="inlineStr">
        <is>
          <t>مغطى كلياً (F)</t>
        </is>
      </c>
      <c r="D20" s="10">
        <f>COUNTIF(D2:D18,"F")</f>
        <v/>
      </c>
    </row>
    <row r="21">
      <c r="B21" s="5" t="inlineStr">
        <is>
          <t>جزئي (P)</t>
        </is>
      </c>
      <c r="D21" s="10">
        <f>COUNTIF(D2:D18,"P")</f>
        <v/>
      </c>
    </row>
    <row r="22">
      <c r="B22" s="5" t="inlineStr">
        <is>
          <t>مفقود (M)</t>
        </is>
      </c>
      <c r="D22" s="10">
        <f>COUNTIF(D2:D18,"M")</f>
        <v/>
      </c>
    </row>
    <row r="23">
      <c r="B23" s="5" t="inlineStr">
        <is>
          <t>نسبة التغطية الكاملة</t>
        </is>
      </c>
      <c r="D23" s="11">
        <f>D20/COUNTA(D2:D18)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42" customWidth="1" min="3" max="3"/>
    <col width="18" customWidth="1" min="4" max="4"/>
    <col width="50" customWidth="1" min="5" max="5"/>
  </cols>
  <sheetData>
    <row r="1">
      <c r="A1" s="7" t="inlineStr">
        <is>
          <t>الممارسة / المعيار</t>
        </is>
      </c>
      <c r="B1" s="7" t="inlineStr">
        <is>
          <t>المضمون</t>
        </is>
      </c>
      <c r="C1" s="7" t="inlineStr">
        <is>
          <t>ما يعنيه لمنصتنا</t>
        </is>
      </c>
      <c r="D1" s="7" t="inlineStr">
        <is>
          <t>بنود الخطة</t>
        </is>
      </c>
      <c r="E1" s="7" t="inlineStr">
        <is>
          <t>المصدر</t>
        </is>
      </c>
    </row>
    <row r="2">
      <c r="A2" s="8" t="inlineStr">
        <is>
          <t>اتفاقية بازل: المبادئ المنقّحة لإدارة المخاطر التشغيلية (2021)</t>
        </is>
      </c>
      <c r="B2" s="8" t="inlineStr">
        <is>
          <t>12 مبدأً: الحوكمة، بيئة إدارة المخاطر (تحديد وتقييم، إدارة التغيير، المتابعة والإبلاغ، الرقابة والتخفيف)، تقنية المعلومات، استمرارية الأعمال، الإفصاح.</t>
        </is>
      </c>
      <c r="C2" s="8" t="inlineStr">
        <is>
          <t>الضوابط واختبارها، إدارة التغيير (محفّزات التقييم)، ICT، BCP</t>
        </is>
      </c>
      <c r="D2" s="8" t="inlineStr">
        <is>
          <t>GRC-001/002/012/015/016</t>
        </is>
      </c>
      <c r="E2" s="8" t="inlineStr">
        <is>
          <t>https://www.bis.org/bcbs/publ/d515.htm</t>
        </is>
      </c>
    </row>
    <row r="3">
      <c r="A3" s="8" t="inlineStr">
        <is>
          <t>بازل: مبادئ المرونة التشغيلية (2021)</t>
        </is>
      </c>
      <c r="B3" s="8" t="inlineStr">
        <is>
          <t>قدرة المصرف على الصمود والتكيف والتعافي: الخدمات الحرجة، خرائط الاعتماديات، حدود تحمل الانقطاع، اختبار السيناريوهات، الأطراف الثالثة.</t>
        </is>
      </c>
      <c r="C3" s="8" t="inlineStr">
        <is>
          <t>وحدة BIA/BCP كاملة وحدود التحمل والأطراف الثالثة</t>
        </is>
      </c>
      <c r="D3" s="8" t="inlineStr">
        <is>
          <t>GRC-015/016/017/029</t>
        </is>
      </c>
      <c r="E3" s="8" t="inlineStr">
        <is>
          <t>https://www.bis.org/bcbs/publ/d516.pdf</t>
        </is>
      </c>
    </row>
    <row r="4">
      <c r="A4" s="8" t="inlineStr">
        <is>
          <t>IFSB-1: إدارة المخاطر للمؤسسات المقدِّمة للخدمات المالية الإسلامية</t>
        </is>
      </c>
      <c r="B4" s="8" t="inlineStr">
        <is>
          <t>مخاطر خاصة: عدم الالتزام الشرعي، مخاطر معدل العائد، الاستثمار بالمشاركة، التجارة المنقولة، ومخاطر تشغيلية.</t>
        </is>
      </c>
      <c r="C4" s="8" t="inlineStr">
        <is>
          <t>لدينا الفئات؛ ينقص تقييم ومؤشرات متخصصة</t>
        </is>
      </c>
      <c r="D4" s="8" t="inlineStr">
        <is>
          <t>GRC-020/021</t>
        </is>
      </c>
      <c r="E4" s="8" t="inlineStr">
        <is>
          <t>https://islamic-banking.com/ifsb-standards/</t>
        </is>
      </c>
    </row>
    <row r="5">
      <c r="A5" s="8" t="inlineStr">
        <is>
          <t>IFSB-10 ومعايير AAOIFI للحوكمة: الحوكمة الشرعية</t>
        </is>
      </c>
      <c r="B5" s="8" t="inlineStr">
        <is>
          <t>هيئة رقابة شرعية، مراجعة/تدقيق شرعي داخلي، تقرير الالتزام الشرعي.</t>
        </is>
      </c>
      <c r="C5" s="8" t="inlineStr">
        <is>
          <t>وحدة الامتثال الشرعي (فجوة لا يغطيها أي عرض)</t>
        </is>
      </c>
      <c r="D5" s="8" t="inlineStr">
        <is>
          <t>GRC-020</t>
        </is>
      </c>
      <c r="E5" s="8" t="inlineStr">
        <is>
          <t>https://www.ifsb.org/press-releases/the-ifsb-publishes-four-new-frequently-asked-questions-faqs-on-key-standards/</t>
        </is>
      </c>
    </row>
    <row r="6">
      <c r="A6" s="8" t="inlineStr">
        <is>
          <t>IFSB-15 (كفاية رأس المال) وIFSB-30 (الحوكمة المؤسسية)</t>
        </is>
      </c>
      <c r="B6" s="8" t="inlineStr">
        <is>
          <t>معايير احترازية مشتقة من بازل للمصارف الإسلامية؛ IFSB-30 مبادئ حوكمة منقحة.</t>
        </is>
      </c>
      <c r="C6" s="8" t="inlineStr">
        <is>
          <t>حوكمة المجلس واللجان؛ رأس المال خارج النطاق</t>
        </is>
      </c>
      <c r="D6" s="8" t="inlineStr">
        <is>
          <t>GRC-022/035</t>
        </is>
      </c>
      <c r="E6" s="8" t="inlineStr">
        <is>
          <t>https://www.ifsb.org/wp-content/uploads/2023/10/ED-30_En.pdf</t>
        </is>
      </c>
    </row>
    <row r="7">
      <c r="A7" s="8" t="inlineStr">
        <is>
          <t>ساما (السعودية): إطار الحوكمة الشرعية وإدارة المخاطر للمصرفية المتوافقة مع الشريعة</t>
        </is>
      </c>
      <c r="B7" s="8" t="inlineStr">
        <is>
          <t>توقعات رقابية على وظيفة الامتثال الشرعي وإدارة مخاطر الائتمان والسوق والتشغيل والسيولة والاستثمار بالأسهم.</t>
        </is>
      </c>
      <c r="C7" s="8" t="inlineStr">
        <is>
          <t>مثال إقليمي لوحدة شرعية مدمجة بإدارة المخاطر</t>
        </is>
      </c>
      <c r="D7" s="8" t="inlineStr">
        <is>
          <t>GRC-020/021</t>
        </is>
      </c>
      <c r="E7" s="8" t="inlineStr">
        <is>
          <t>https://rulebook.sama.gov.sa/en/shariah-governance-framework-local-banks-operating-saudi-arabia</t>
        </is>
      </c>
    </row>
    <row r="8">
      <c r="A8" s="8" t="inlineStr">
        <is>
          <t>مصرف الإمارات المركزي: لائحة المخاطر التشغيلية</t>
        </is>
      </c>
      <c r="B8" s="8" t="inlineStr">
        <is>
          <t>تربط المخاطر التشغيلية والمرونة بالحوكمة والضوابط والتقنية وإدارة التغيير والأطراف الثالثة (تاريخ السريان المذكور في نتيجة البحث: 14 سبتمبر 2026؛ يلزم التحقق من النص الرسمي).</t>
        </is>
      </c>
      <c r="C8" s="8" t="inlineStr">
        <is>
          <t>دمج التشغيلي والمرونة والأطراف الثالثة</t>
        </is>
      </c>
      <c r="D8" s="8" t="inlineStr">
        <is>
          <t>GRC-015/029</t>
        </is>
      </c>
      <c r="E8" s="8" t="inlineStr">
        <is>
          <t>https://grc2020.com/2026/09/27/the-uaes-grc-market-ambition-meets-the-resilience-test/</t>
        </is>
      </c>
    </row>
    <row r="9">
      <c r="A9" s="8" t="inlineStr">
        <is>
          <t>مصرف ليبيا المركزي: مدونة الحوكمة للقطاع المصرفي (2010) ودليل الحوكمة (التعميم 19 لسنة 2024)</t>
        </is>
      </c>
      <c r="B9" s="8" t="inlineStr">
        <is>
          <t>لجان المجلس (التدقيق، المكافآت، المخاطر، الحوكمة) ومبادئ إدارة مخاطر الائتمان والسوق والتشغيل والسيولة والسلوك. لم أستطع فتح صفحة المصرف المركزي (محجوبة)؛ المعلومة من ملخص بحث ويجب التحقق من التعميم الأصلي.</t>
        </is>
      </c>
      <c r="C9" s="8" t="inlineStr">
        <is>
          <t>حوكمة اللجان والتزام التشكيل والاجتماعات</t>
        </is>
      </c>
      <c r="D9" s="8" t="inlineStr">
        <is>
          <t>GRC-022</t>
        </is>
      </c>
      <c r="E9" s="8" t="inlineStr">
        <is>
          <t>https://cbl.gov.ly/en/central-bank-of-libya-issues-comprehensive-banking-sector-governance-manual/</t>
        </is>
      </c>
    </row>
    <row r="10">
      <c r="A10" s="8" t="inlineStr">
        <is>
          <t>ISO 31000 / COSO ERM</t>
        </is>
      </c>
      <c r="B10" s="8" t="inlineStr">
        <is>
          <t>ربط المخاطر بالاستراتيجية والأداء وقابلية تحمل المخاطر.</t>
        </is>
      </c>
      <c r="C10" s="8" t="inlineStr">
        <is>
          <t>أهداف استراتيجية وقابلية المخاطر والقبول بصلاحيات</t>
        </is>
      </c>
      <c r="D10" s="8" t="inlineStr">
        <is>
          <t>GRC-011/022</t>
        </is>
      </c>
      <c r="E10" s="8" t="inlineStr">
        <is>
          <t>-</t>
        </is>
      </c>
    </row>
    <row r="11">
      <c r="A11" s="8" t="inlineStr">
        <is>
          <t>BCBS 239 (تجميع بيانات المخاطر والإبلاغ)</t>
        </is>
      </c>
      <c r="B11" s="8" t="inlineStr">
        <is>
          <t>جودة البيانات، الاكتمال، التوقيت، الأصل البياني للإبلاغ.</t>
        </is>
      </c>
      <c r="C11" s="8" t="inlineStr">
        <is>
          <t>بوابة جودة بيانات KRI، نموذج بيانات موحد</t>
        </is>
      </c>
      <c r="D11" s="8" t="inlineStr">
        <is>
          <t>GRC-008/024</t>
        </is>
      </c>
      <c r="E11" s="8" t="inlineStr">
        <is>
          <t>-</t>
        </is>
      </c>
    </row>
    <row r="12">
      <c r="A12" s="8" t="inlineStr">
        <is>
          <t>سوق منصات GRC/IRM</t>
        </is>
      </c>
      <c r="B12" s="8" t="inlineStr">
        <is>
          <t>المنصات الكبرى تركّز على تنسيق سير العمل عبر المخاطر والامتثال والأطراف الثالثة والمرونة؛ وغارتنر لم تعد تعتبر IRM سوقاً مستقلاً بل GRC.</t>
        </is>
      </c>
      <c r="C12" s="8" t="inlineStr">
        <is>
          <t>محرك سير عمل ووحدات مترابطة بنموذج بيانات واحد</t>
        </is>
      </c>
      <c r="D12" s="8" t="inlineStr">
        <is>
          <t>GRC-004/005</t>
        </is>
      </c>
      <c r="E12" s="8" t="inlineStr">
        <is>
          <t>https://www.marketsandmarkets.com/ResearchInsight/enterprise-governance-risk-compliance-market.asp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7" t="inlineStr">
        <is>
          <t>المورد</t>
        </is>
      </c>
      <c r="B1" s="7" t="inlineStr">
        <is>
          <t>ملاحظة تستحق المتابعة قبل الترسية</t>
        </is>
      </c>
    </row>
    <row r="2">
      <c r="A2" s="8" t="inlineStr">
        <is>
          <t>Rabbit-Hole</t>
        </is>
      </c>
      <c r="B2" s="8" t="inlineStr">
        <is>
          <t>يذكر المقترح (ص16) أن وحدة BCM «قيد البناء»، بينما تصنّف مقارنة اللجنة BCM لديه «قوي». يلزم تثبيت كتابي للجاهزية قبل الترسية.</t>
        </is>
      </c>
    </row>
    <row r="3">
      <c r="A3" s="8" t="inlineStr">
        <is>
          <t>Rabbit-Hole</t>
        </is>
      </c>
      <c r="B3" s="8" t="inlineStr">
        <is>
          <t>مخطط البنية وقاموس البيانات ملكية فكرية لدى المورد (ص20)، والتكامل غير مشمول في السعر، وربط الدفعات 20/30/40/10%. تأكد من الحق في تصدير البيانات عند الخروج.</t>
        </is>
      </c>
    </row>
    <row r="4">
      <c r="A4" s="8" t="inlineStr">
        <is>
          <t>FOCUS</t>
        </is>
      </c>
      <c r="B4" s="8" t="inlineStr">
        <is>
          <t>تعارض في رسوم الصيانة داخل العرض (15,000 مقابل 12,600) كما أشارت اللجنة؛ ومتطلبات خوادم Windows/IIS/.NET و MS SQL و16GB/1TB على عاتق المصرف.</t>
        </is>
      </c>
    </row>
    <row r="5">
      <c r="A5" s="8" t="inlineStr">
        <is>
          <t>SHIRA</t>
        </is>
      </c>
      <c r="B5" s="8" t="inlineStr">
        <is>
          <t>قسم كبير استشاري؛ الترخيص «دائم/لمدة التعاقد» (ص24) يحتاج توضيحاً؛ ربط KRI/KPI الآلي يحتاج جهداً برمجياً يُقدَّر لاحقاً (ص28). ورقة العرض تمنع إطلاع طرف ثالث دون موافقة كتابية.</t>
        </is>
      </c>
    </row>
    <row r="6">
      <c r="A6" s="8" t="inlineStr">
        <is>
          <t>Shamil</t>
        </is>
      </c>
      <c r="B6" s="8" t="inlineStr">
        <is>
          <t>منصة تطوير مخصصة (Spring Boot/React/Keycloak/Camunda) وليست منتجاً جاهزاً: النتيجة «بناء مخصص» بسقف 5–6 أشهر وملكية مشتركة للشيفرة؛ مواصفاته الوظيفية الأغنى (RCSA/خسائر/KRI/BCM/ESG) هي الأفضل مرجعاً لمتطلباتنا.</t>
        </is>
      </c>
    </row>
    <row r="7">
      <c r="A7" s="8" t="inlineStr">
        <is>
          <t>OneSumX</t>
        </is>
      </c>
      <c r="B7" s="8" t="inlineStr">
        <is>
          <t>5 مستخدمين مسمّين فقط، زيادة سنوية CPI+1% لعقد 5 سنوات، والسفر والضرائب خارج السعر؛ تفاصيل KRI «أقل بروزاً» في العرض نفسه.</t>
        </is>
      </c>
    </row>
    <row r="8">
      <c r="A8" s="8" t="inlineStr">
        <is>
          <t>Ocean/ITS</t>
        </is>
      </c>
      <c r="B8" s="8" t="inlineStr">
        <is>
          <t>عرض استشاري بلا منصة (200 ألف دولار) وتاريخه 31/08/2025 وصلاحيته 30 يوماً، أي أنه منتهي الصلاحية ما لم يُجدَّد؛ مناسب لمسار IT/Cyber GRC منفصل.</t>
        </is>
      </c>
    </row>
    <row r="9">
      <c r="A9" s="8" t="inlineStr">
        <is>
          <t>عام</t>
        </is>
      </c>
      <c r="B9" s="8" t="inlineStr">
        <is>
          <t>لم يصف أي من العروض وحدة امتثال شرعي (قرارات/تدقيق/عدم التزام/تطهير)؛ هذا متطلب فريد للمصرف الإسلامي يمكن أن تتميز به منصتنا.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60" customWidth="1" min="1" max="1"/>
    <col width="100" customWidth="1" min="2" max="2"/>
  </cols>
  <sheetData>
    <row r="1">
      <c r="A1" s="7" t="inlineStr">
        <is>
          <t>المصدر</t>
        </is>
      </c>
      <c r="B1" s="7" t="inlineStr">
        <is>
          <t>الرابط / ملاحظة</t>
        </is>
      </c>
    </row>
    <row r="2">
      <c r="A2" s="8" t="inlineStr">
        <is>
          <t>العروض الفنية والمالية الستة وملف جو جلوبال ولوحة مقارنة اللجنة</t>
        </is>
      </c>
      <c r="B2" s="8" t="inlineStr">
        <is>
          <t>مرفوعة من المستخدم — تُقرأ كما وردت دون تحقق مستقل من ادعاءات الموردين</t>
        </is>
      </c>
    </row>
    <row r="3">
      <c r="A3" s="8" t="inlineStr">
        <is>
          <t>BIS: Revisions to PSMOR (2021)</t>
        </is>
      </c>
      <c r="B3" s="8" t="inlineStr">
        <is>
          <t>https://www.bis.org/bcbs/publ/d515.htm</t>
        </is>
      </c>
    </row>
    <row r="4">
      <c r="A4" s="8" t="inlineStr">
        <is>
          <t>BIS: Principles for Operational Resilience (2021)</t>
        </is>
      </c>
      <c r="B4" s="8" t="inlineStr">
        <is>
          <t>https://www.bis.org/bcbs/publ/d516.pdf</t>
        </is>
      </c>
    </row>
    <row r="5">
      <c r="A5" s="8" t="inlineStr">
        <is>
          <t>IFSB standards overview</t>
        </is>
      </c>
      <c r="B5" s="8" t="inlineStr">
        <is>
          <t>https://islamic-banking.com/ifsb-standards/</t>
        </is>
      </c>
    </row>
    <row r="6">
      <c r="A6" s="8" t="inlineStr">
        <is>
          <t>SAMA Shariah Governance Framework</t>
        </is>
      </c>
      <c r="B6" s="8" t="inlineStr">
        <is>
          <t>https://rulebook.sama.gov.sa/en/shariah-governance-framework-local-banks-operating-saudi-arabia</t>
        </is>
      </c>
    </row>
    <row r="7">
      <c r="A7" s="8" t="inlineStr">
        <is>
          <t>SAMA Risk Management for Shariah Compliant Banking</t>
        </is>
      </c>
      <c r="B7" s="8" t="inlineStr">
        <is>
          <t>https://rulebook.sama.gov.sa/en/entiresection/10190</t>
        </is>
      </c>
    </row>
    <row r="8">
      <c r="A8" s="8" t="inlineStr">
        <is>
          <t>CBUAE operational risk (via GRC2020 article)</t>
        </is>
      </c>
      <c r="B8" s="8" t="inlineStr">
        <is>
          <t>https://grc2020.com/2026/09/27/the-uaes-grc-market-ambition-meets-the-resilience-test/</t>
        </is>
      </c>
    </row>
    <row r="9">
      <c r="A9" s="8" t="inlineStr">
        <is>
          <t>Central Bank of Libya — Banking Supervision / governance manual</t>
        </is>
      </c>
      <c r="B9" s="8" t="inlineStr">
        <is>
          <t>https://cbl.gov.ly/en/banking-supervision/ (الصفحة محجوبة من بيئتي؛ المعلومة من ملخص بحث)</t>
        </is>
      </c>
    </row>
    <row r="10">
      <c r="A10" s="8" t="inlineStr">
        <is>
          <t>GRC/IRM market overview (MarketsandMarkets)</t>
        </is>
      </c>
      <c r="B10" s="8" t="inlineStr">
        <is>
          <t>https://www.marketsandmarkets.com/ResearchInsight/enterprise-governance-risk-compliance-market.asp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2026-10-06T09:17:34Z</dcterms:created>
  <dcterms:modified xsi:type="dcterms:W3CDTF">2026-10-06T09:17:34Z</dcterms:modified>
</cp:coreProperties>
</file>